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/>
  <mc:AlternateContent xmlns:mc="http://schemas.openxmlformats.org/markup-compatibility/2006">
    <mc:Choice Requires="x15">
      <x15ac:absPath xmlns:x15ac="http://schemas.microsoft.com/office/spreadsheetml/2010/11/ac" url="/Users/moni/Claude_Workspace/"/>
    </mc:Choice>
  </mc:AlternateContent>
  <xr:revisionPtr revIDLastSave="0" documentId="13_ncr:1_{D88AEF4C-12B7-A649-B270-BCF422AE5E8F}" xr6:coauthVersionLast="36" xr6:coauthVersionMax="36" xr10:uidLastSave="{00000000-0000-0000-0000-000000000000}"/>
  <bookViews>
    <workbookView xWindow="0" yWindow="500" windowWidth="16380" windowHeight="23500" tabRatio="500" xr2:uid="{00000000-000D-0000-FFFF-FFFF00000000}"/>
  </bookViews>
  <sheets>
    <sheet name="Products" sheetId="1" r:id="rId1"/>
    <sheet name="Vendors" sheetId="2" r:id="rId2"/>
    <sheet name="Locations" sheetId="3" r:id="rId3"/>
    <sheet name="Draft Economics" sheetId="4" r:id="rId4"/>
    <sheet name="Reference" sheetId="5" r:id="rId5"/>
  </sheets>
  <externalReferences>
    <externalReference r:id="rId6"/>
  </externalReferenc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84" i="1" l="1"/>
  <c r="O84" i="1"/>
  <c r="J85" i="1"/>
  <c r="O85" i="1"/>
  <c r="C22" i="4" l="1"/>
  <c r="G22" i="4" s="1"/>
  <c r="G21" i="4"/>
  <c r="F21" i="4"/>
  <c r="E21" i="4"/>
  <c r="C21" i="4"/>
  <c r="D21" i="4" s="1"/>
  <c r="C20" i="4"/>
  <c r="G20" i="4" s="1"/>
  <c r="G19" i="4"/>
  <c r="F19" i="4"/>
  <c r="E19" i="4"/>
  <c r="C19" i="4"/>
  <c r="D19" i="4" s="1"/>
  <c r="G18" i="4"/>
  <c r="F18" i="4"/>
  <c r="E18" i="4"/>
  <c r="D18" i="4"/>
  <c r="C18" i="4"/>
  <c r="Q10" i="4"/>
  <c r="R10" i="4" s="1"/>
  <c r="S10" i="4" s="1"/>
  <c r="T10" i="4" s="1"/>
  <c r="U10" i="4" s="1"/>
  <c r="F10" i="4"/>
  <c r="H10" i="4" s="1"/>
  <c r="M10" i="4" s="1"/>
  <c r="N10" i="4" s="1"/>
  <c r="Q9" i="4"/>
  <c r="R9" i="4" s="1"/>
  <c r="S9" i="4" s="1"/>
  <c r="T9" i="4" s="1"/>
  <c r="U9" i="4" s="1"/>
  <c r="M9" i="4"/>
  <c r="N9" i="4" s="1"/>
  <c r="K9" i="4"/>
  <c r="L9" i="4" s="1"/>
  <c r="H9" i="4"/>
  <c r="G9" i="4"/>
  <c r="F9" i="4"/>
  <c r="R8" i="4"/>
  <c r="S8" i="4" s="1"/>
  <c r="T8" i="4" s="1"/>
  <c r="U8" i="4" s="1"/>
  <c r="Q8" i="4"/>
  <c r="F8" i="4"/>
  <c r="H8" i="4" s="1"/>
  <c r="M8" i="4" s="1"/>
  <c r="N8" i="4" s="1"/>
  <c r="Q7" i="4"/>
  <c r="R7" i="4" s="1"/>
  <c r="S7" i="4" s="1"/>
  <c r="T7" i="4" s="1"/>
  <c r="U7" i="4" s="1"/>
  <c r="F7" i="4"/>
  <c r="H7" i="4" s="1"/>
  <c r="M7" i="4" s="1"/>
  <c r="N7" i="4" s="1"/>
  <c r="R6" i="4"/>
  <c r="S6" i="4" s="1"/>
  <c r="T6" i="4" s="1"/>
  <c r="U6" i="4" s="1"/>
  <c r="Q6" i="4"/>
  <c r="H6" i="4"/>
  <c r="M6" i="4" s="1"/>
  <c r="N6" i="4" s="1"/>
  <c r="F6" i="4"/>
  <c r="G6" i="4" s="1"/>
  <c r="K6" i="4" s="1"/>
  <c r="Q5" i="4"/>
  <c r="R5" i="4" s="1"/>
  <c r="S5" i="4" s="1"/>
  <c r="T5" i="4" s="1"/>
  <c r="U5" i="4" s="1"/>
  <c r="F5" i="4"/>
  <c r="G5" i="4" s="1"/>
  <c r="K5" i="4" s="1"/>
  <c r="Q4" i="4"/>
  <c r="R4" i="4" s="1"/>
  <c r="S4" i="4" s="1"/>
  <c r="T4" i="4" s="1"/>
  <c r="U4" i="4" s="1"/>
  <c r="M4" i="4"/>
  <c r="N4" i="4" s="1"/>
  <c r="H4" i="4"/>
  <c r="F4" i="4"/>
  <c r="G4" i="4" s="1"/>
  <c r="K4" i="4" s="1"/>
  <c r="Q3" i="4"/>
  <c r="R3" i="4" s="1"/>
  <c r="S3" i="4" s="1"/>
  <c r="T3" i="4" s="1"/>
  <c r="U3" i="4" s="1"/>
  <c r="H3" i="4"/>
  <c r="M3" i="4" s="1"/>
  <c r="N3" i="4" s="1"/>
  <c r="G3" i="4"/>
  <c r="K3" i="4" s="1"/>
  <c r="F3" i="4"/>
  <c r="Q2" i="4"/>
  <c r="R2" i="4" s="1"/>
  <c r="S2" i="4" s="1"/>
  <c r="T2" i="4" s="1"/>
  <c r="U2" i="4" s="1"/>
  <c r="F2" i="4"/>
  <c r="H2" i="4" s="1"/>
  <c r="M2" i="4" s="1"/>
  <c r="N2" i="4" s="1"/>
  <c r="O138" i="1"/>
  <c r="J138" i="1"/>
  <c r="O137" i="1"/>
  <c r="J137" i="1"/>
  <c r="O136" i="1"/>
  <c r="J136" i="1"/>
  <c r="O135" i="1"/>
  <c r="J135" i="1"/>
  <c r="O134" i="1"/>
  <c r="J134" i="1"/>
  <c r="O133" i="1"/>
  <c r="J133" i="1"/>
  <c r="O132" i="1"/>
  <c r="J132" i="1"/>
  <c r="O131" i="1"/>
  <c r="J131" i="1"/>
  <c r="O130" i="1"/>
  <c r="J130" i="1"/>
  <c r="O129" i="1"/>
  <c r="J129" i="1"/>
  <c r="O128" i="1"/>
  <c r="J128" i="1"/>
  <c r="O127" i="1"/>
  <c r="J127" i="1"/>
  <c r="O126" i="1"/>
  <c r="J126" i="1"/>
  <c r="O125" i="1"/>
  <c r="J125" i="1"/>
  <c r="O124" i="1"/>
  <c r="J124" i="1"/>
  <c r="O123" i="1"/>
  <c r="J123" i="1"/>
  <c r="O122" i="1"/>
  <c r="J122" i="1"/>
  <c r="O121" i="1"/>
  <c r="J121" i="1"/>
  <c r="O120" i="1"/>
  <c r="J120" i="1"/>
  <c r="O119" i="1"/>
  <c r="J119" i="1"/>
  <c r="O118" i="1"/>
  <c r="J118" i="1"/>
  <c r="O117" i="1"/>
  <c r="J117" i="1"/>
  <c r="O116" i="1"/>
  <c r="J116" i="1"/>
  <c r="O115" i="1"/>
  <c r="J115" i="1"/>
  <c r="O114" i="1"/>
  <c r="J114" i="1"/>
  <c r="O113" i="1"/>
  <c r="J113" i="1"/>
  <c r="O112" i="1"/>
  <c r="J112" i="1"/>
  <c r="O111" i="1"/>
  <c r="J111" i="1"/>
  <c r="O110" i="1"/>
  <c r="J110" i="1"/>
  <c r="O109" i="1"/>
  <c r="J109" i="1"/>
  <c r="O108" i="1"/>
  <c r="J108" i="1"/>
  <c r="O107" i="1"/>
  <c r="J107" i="1"/>
  <c r="O106" i="1"/>
  <c r="J106" i="1"/>
  <c r="O105" i="1"/>
  <c r="J105" i="1"/>
  <c r="O104" i="1"/>
  <c r="J104" i="1"/>
  <c r="O103" i="1"/>
  <c r="J103" i="1"/>
  <c r="O102" i="1"/>
  <c r="J102" i="1"/>
  <c r="O101" i="1"/>
  <c r="J101" i="1"/>
  <c r="O100" i="1"/>
  <c r="J100" i="1"/>
  <c r="O99" i="1"/>
  <c r="J99" i="1"/>
  <c r="O98" i="1"/>
  <c r="J98" i="1"/>
  <c r="O97" i="1"/>
  <c r="J97" i="1"/>
  <c r="O96" i="1"/>
  <c r="J96" i="1"/>
  <c r="O95" i="1"/>
  <c r="J95" i="1"/>
  <c r="O94" i="1"/>
  <c r="J94" i="1"/>
  <c r="O93" i="1"/>
  <c r="J93" i="1"/>
  <c r="O92" i="1"/>
  <c r="J92" i="1"/>
  <c r="O91" i="1"/>
  <c r="J91" i="1"/>
  <c r="O90" i="1"/>
  <c r="J90" i="1"/>
  <c r="O89" i="1"/>
  <c r="J89" i="1"/>
  <c r="O88" i="1"/>
  <c r="J88" i="1"/>
  <c r="O87" i="1"/>
  <c r="J87" i="1"/>
  <c r="O86" i="1"/>
  <c r="J86" i="1"/>
  <c r="O81" i="1"/>
  <c r="J81" i="1"/>
  <c r="O80" i="1"/>
  <c r="J80" i="1"/>
  <c r="O79" i="1"/>
  <c r="J79" i="1"/>
  <c r="O78" i="1"/>
  <c r="J78" i="1"/>
  <c r="O77" i="1"/>
  <c r="J77" i="1"/>
  <c r="O76" i="1"/>
  <c r="J76" i="1"/>
  <c r="O75" i="1"/>
  <c r="J75" i="1"/>
  <c r="O74" i="1"/>
  <c r="J74" i="1"/>
  <c r="O73" i="1"/>
  <c r="J73" i="1"/>
  <c r="O72" i="1"/>
  <c r="J72" i="1"/>
  <c r="O71" i="1"/>
  <c r="J71" i="1"/>
  <c r="O70" i="1"/>
  <c r="J70" i="1"/>
  <c r="O69" i="1"/>
  <c r="J69" i="1"/>
  <c r="O68" i="1"/>
  <c r="J68" i="1"/>
  <c r="O67" i="1"/>
  <c r="J67" i="1"/>
  <c r="O66" i="1"/>
  <c r="J66" i="1"/>
  <c r="O65" i="1"/>
  <c r="J65" i="1"/>
  <c r="O64" i="1"/>
  <c r="J64" i="1"/>
  <c r="O63" i="1"/>
  <c r="J63" i="1"/>
  <c r="O62" i="1"/>
  <c r="J62" i="1"/>
  <c r="O61" i="1"/>
  <c r="J61" i="1"/>
  <c r="O60" i="1"/>
  <c r="J60" i="1"/>
  <c r="O59" i="1"/>
  <c r="J59" i="1"/>
  <c r="O58" i="1"/>
  <c r="J58" i="1"/>
  <c r="O57" i="1"/>
  <c r="J57" i="1"/>
  <c r="O56" i="1"/>
  <c r="J56" i="1"/>
  <c r="O55" i="1"/>
  <c r="J55" i="1"/>
  <c r="O54" i="1"/>
  <c r="J54" i="1"/>
  <c r="O53" i="1"/>
  <c r="J53" i="1"/>
  <c r="O52" i="1"/>
  <c r="J52" i="1"/>
  <c r="O51" i="1"/>
  <c r="J51" i="1"/>
  <c r="O50" i="1"/>
  <c r="J50" i="1"/>
  <c r="O49" i="1"/>
  <c r="J49" i="1"/>
  <c r="O48" i="1"/>
  <c r="J48" i="1"/>
  <c r="O47" i="1"/>
  <c r="J47" i="1"/>
  <c r="O46" i="1"/>
  <c r="J46" i="1"/>
  <c r="O45" i="1"/>
  <c r="J45" i="1"/>
  <c r="O44" i="1"/>
  <c r="J44" i="1"/>
  <c r="O43" i="1"/>
  <c r="J43" i="1"/>
  <c r="O42" i="1"/>
  <c r="J42" i="1"/>
  <c r="O41" i="1"/>
  <c r="J41" i="1"/>
  <c r="O40" i="1"/>
  <c r="J40" i="1"/>
  <c r="O39" i="1"/>
  <c r="J39" i="1"/>
  <c r="O38" i="1"/>
  <c r="J38" i="1"/>
  <c r="O37" i="1"/>
  <c r="J37" i="1"/>
  <c r="O36" i="1"/>
  <c r="J36" i="1"/>
  <c r="O35" i="1"/>
  <c r="J35" i="1"/>
  <c r="O34" i="1"/>
  <c r="J34" i="1"/>
  <c r="O33" i="1"/>
  <c r="J33" i="1"/>
  <c r="O32" i="1"/>
  <c r="J32" i="1"/>
  <c r="O31" i="1"/>
  <c r="J31" i="1"/>
  <c r="O30" i="1"/>
  <c r="J30" i="1"/>
  <c r="O29" i="1"/>
  <c r="J29" i="1"/>
  <c r="O28" i="1"/>
  <c r="J28" i="1"/>
  <c r="O27" i="1"/>
  <c r="J27" i="1"/>
  <c r="O26" i="1"/>
  <c r="J26" i="1"/>
  <c r="O25" i="1"/>
  <c r="J25" i="1"/>
  <c r="O24" i="1"/>
  <c r="J24" i="1"/>
  <c r="O23" i="1"/>
  <c r="J23" i="1"/>
  <c r="O22" i="1"/>
  <c r="J22" i="1"/>
  <c r="O21" i="1"/>
  <c r="J21" i="1"/>
  <c r="O20" i="1"/>
  <c r="J20" i="1"/>
  <c r="O19" i="1"/>
  <c r="J19" i="1"/>
  <c r="O18" i="1"/>
  <c r="J18" i="1"/>
  <c r="O17" i="1"/>
  <c r="J17" i="1"/>
  <c r="O16" i="1"/>
  <c r="J16" i="1"/>
  <c r="O15" i="1"/>
  <c r="J15" i="1"/>
  <c r="O14" i="1"/>
  <c r="J14" i="1"/>
  <c r="O13" i="1"/>
  <c r="J13" i="1"/>
  <c r="O12" i="1"/>
  <c r="J12" i="1"/>
  <c r="O11" i="1"/>
  <c r="J11" i="1"/>
  <c r="O10" i="1"/>
  <c r="J10" i="1"/>
  <c r="O9" i="1"/>
  <c r="J9" i="1"/>
  <c r="O8" i="1"/>
  <c r="J8" i="1"/>
  <c r="O7" i="1"/>
  <c r="J7" i="1"/>
  <c r="O6" i="1"/>
  <c r="J6" i="1"/>
  <c r="O5" i="1"/>
  <c r="J5" i="1"/>
  <c r="O4" i="1"/>
  <c r="J4" i="1"/>
  <c r="O3" i="1"/>
  <c r="J3" i="1"/>
  <c r="O2" i="1"/>
  <c r="J2" i="1"/>
  <c r="V6" i="4" l="1"/>
  <c r="L6" i="4"/>
  <c r="L4" i="4"/>
  <c r="V4" i="4"/>
  <c r="V5" i="4"/>
  <c r="L5" i="4"/>
  <c r="V3" i="4"/>
  <c r="L3" i="4"/>
  <c r="G2" i="4"/>
  <c r="K2" i="4" s="1"/>
  <c r="H5" i="4"/>
  <c r="M5" i="4" s="1"/>
  <c r="N5" i="4" s="1"/>
  <c r="G10" i="4"/>
  <c r="K10" i="4" s="1"/>
  <c r="E20" i="4"/>
  <c r="G8" i="4"/>
  <c r="K8" i="4" s="1"/>
  <c r="V9" i="4"/>
  <c r="G7" i="4"/>
  <c r="K7" i="4" s="1"/>
  <c r="F20" i="4"/>
  <c r="D22" i="4"/>
  <c r="D20" i="4"/>
  <c r="E22" i="4"/>
  <c r="F22" i="4"/>
  <c r="V8" i="4" l="1"/>
  <c r="L8" i="4"/>
  <c r="V7" i="4"/>
  <c r="L7" i="4"/>
  <c r="V10" i="4"/>
  <c r="L10" i="4"/>
  <c r="V2" i="4"/>
  <c r="L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Full product name. Two sizes of the same thing = TWO ROWS (different barcodes, different costs).</t>
        </r>
      </text>
    </comment>
    <comment ref="B1" authorId="0" shapeId="0" xr:uid="{00000000-0006-0000-0000-000002000000}">
      <text>
        <r>
          <rPr>
            <sz val="10"/>
            <rFont val="Arial"/>
            <family val="2"/>
          </rPr>
          <t>Brand only. Optional but helps search.</t>
        </r>
      </text>
    </comment>
    <comment ref="C1" authorId="0" shapeId="0" xr:uid="{00000000-0006-0000-0000-000003000000}">
      <text>
        <r>
          <rPr>
            <sz val="10"/>
            <rFont val="Arial"/>
            <family val="2"/>
          </rPr>
          <t>Dropdown. Drives reporting.</t>
        </r>
      </text>
    </comment>
    <comment ref="D1" authorId="0" shapeId="0" xr:uid="{00000000-0006-0000-0000-000004000000}">
      <text>
        <r>
          <rPr>
            <sz val="10"/>
            <rFont val="Arial"/>
            <family val="2"/>
          </rPr>
          <t>Free text detail. Keep it consistent.</t>
        </r>
      </text>
    </comment>
    <comment ref="E1" authorId="0" shapeId="0" xr:uid="{00000000-0006-0000-0000-000005000000}">
      <text>
        <r>
          <rPr>
            <sz val="10"/>
            <rFont val="Arial"/>
            <family val="2"/>
          </rPr>
          <t>bottle | can | keg. Dropdown.</t>
        </r>
      </text>
    </comment>
    <comment ref="F1" authorId="0" shapeId="0" xr:uid="{00000000-0006-0000-0000-000006000000}">
      <text>
        <r>
          <rPr>
            <sz val="10"/>
            <rFont val="Arial"/>
            <family val="2"/>
          </rPr>
          <t>Volume of ONE unit. Pre-filled with a best guess — correct it.</t>
        </r>
      </text>
    </comment>
    <comment ref="G1" authorId="0" shapeId="0" xr:uid="{00000000-0006-0000-0000-000007000000}">
      <text>
        <r>
          <rPr>
            <sz val="10"/>
            <rFont val="Arial"/>
            <family val="2"/>
          </rPr>
          <t>Units per case. Enter 1 if you only buy singles.</t>
        </r>
      </text>
    </comment>
    <comment ref="H1" authorId="0" shapeId="0" xr:uid="{00000000-0006-0000-0000-000008000000}">
      <text>
        <r>
          <rPr>
            <sz val="10"/>
            <rFont val="Arial"/>
            <family val="2"/>
          </rPr>
          <t>Dropdown. Add vendors on the Vendors tab first.</t>
        </r>
      </text>
    </comment>
    <comment ref="I1" authorId="0" shapeId="0" xr:uid="{00000000-0006-0000-0000-000009000000}">
      <text>
        <r>
          <rPr>
            <sz val="10"/>
            <rFont val="Arial"/>
            <family val="2"/>
          </rPr>
          <t>What you pay for ONE CASE, straight off the invoice.</t>
        </r>
      </text>
    </comment>
    <comment ref="J1" authorId="0" shapeId="0" xr:uid="{00000000-0006-0000-0000-00000A000000}">
      <text>
        <r>
          <rPr>
            <sz val="10"/>
            <rFont val="Arial"/>
            <family val="2"/>
          </rPr>
          <t>CALCULATED - do not type. case_cost / case_size.</t>
        </r>
      </text>
    </comment>
    <comment ref="K1" authorId="0" shapeId="0" xr:uid="{00000000-0006-0000-0000-00000B000000}">
      <text>
        <r>
          <rPr>
            <sz val="10"/>
            <rFont val="Arial"/>
            <family val="2"/>
          </rPr>
          <t>Target units on hand.</t>
        </r>
      </text>
    </comment>
    <comment ref="L1" authorId="0" shapeId="0" xr:uid="{00000000-0006-0000-0000-00000C000000}">
      <text>
        <r>
          <rPr>
            <sz val="10"/>
            <rFont val="Arial"/>
            <family val="2"/>
          </rPr>
          <t>Reorder when on-hand hits this. Set it above zero.</t>
        </r>
      </text>
    </comment>
    <comment ref="M1" authorId="0" shapeId="0" xr:uid="{00000000-0006-0000-0000-00000D000000}">
      <text>
        <r>
          <rPr>
            <sz val="10"/>
            <rFont val="Arial"/>
            <family val="2"/>
          </rPr>
          <t>Dropdown. Determines count order.</t>
        </r>
      </text>
    </comment>
    <comment ref="N1" authorId="0" shapeId="0" xr:uid="{00000000-0006-0000-0000-00000E000000}">
      <text>
        <r>
          <rPr>
            <sz val="10"/>
            <rFont val="Arial"/>
            <family val="2"/>
          </rPr>
          <t>LEAVE BLANK. Fills automatically when you scan during the first count.</t>
        </r>
      </text>
    </comment>
    <comment ref="O1" authorId="0" shapeId="0" xr:uid="{00000000-0006-0000-0000-00000F000000}">
      <text>
        <r>
          <rPr>
            <sz val="10"/>
            <rFont val="Arial"/>
            <family val="2"/>
          </rPr>
          <t>TRUE while you carry it. FALSE to retire. Never delete a row.</t>
        </r>
      </text>
    </comment>
    <comment ref="P1" authorId="0" shapeId="0" xr:uid="{00000000-0006-0000-0000-000010000000}">
      <text>
        <r>
          <rPr>
            <sz val="10"/>
            <rFont val="Arial"/>
            <family val="2"/>
          </rPr>
          <t>Optional.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300-000001000000}">
      <text>
        <r>
          <rPr>
            <sz val="10"/>
            <rFont val="Arial"/>
            <family val="2"/>
          </rPr>
          <t>Full keg volume</t>
        </r>
      </text>
    </comment>
    <comment ref="D1" authorId="0" shapeId="0" xr:uid="{00000000-0006-0000-0300-000002000000}">
      <text>
        <r>
          <rPr>
            <sz val="10"/>
            <rFont val="Arial"/>
            <family val="2"/>
          </rPr>
          <t>What you pay per keg</t>
        </r>
      </text>
    </comment>
    <comment ref="E1" authorId="0" shapeId="0" xr:uid="{00000000-0006-0000-0300-000003000000}">
      <text>
        <r>
          <rPr>
            <sz val="10"/>
            <rFont val="Arial"/>
            <family val="2"/>
          </rPr>
          <t>Foam, line loss, first and last pour. 10% is typical — tune per line.</t>
        </r>
      </text>
    </comment>
    <comment ref="F1" authorId="0" shapeId="0" xr:uid="{00000000-0006-0000-0300-000004000000}">
      <text>
        <r>
          <rPr>
            <sz val="10"/>
            <rFont val="Arial"/>
            <family val="2"/>
          </rPr>
          <t>CALC</t>
        </r>
      </text>
    </comment>
    <comment ref="G1" authorId="0" shapeId="0" xr:uid="{00000000-0006-0000-0300-000005000000}">
      <text>
        <r>
          <rPr>
            <sz val="10"/>
            <rFont val="Arial"/>
            <family val="2"/>
          </rPr>
          <t>CALC</t>
        </r>
      </text>
    </comment>
    <comment ref="H1" authorId="0" shapeId="0" xr:uid="{00000000-0006-0000-0300-000006000000}">
      <text>
        <r>
          <rPr>
            <sz val="10"/>
            <rFont val="Arial"/>
            <family val="2"/>
          </rPr>
          <t>CALC</t>
        </r>
      </text>
    </comment>
    <comment ref="K1" authorId="0" shapeId="0" xr:uid="{00000000-0006-0000-0300-000007000000}">
      <text>
        <r>
          <rPr>
            <sz val="10"/>
            <rFont val="Arial"/>
            <family val="2"/>
          </rPr>
          <t>CALC</t>
        </r>
      </text>
    </comment>
    <comment ref="L1" authorId="0" shapeId="0" xr:uid="{00000000-0006-0000-0300-000008000000}">
      <text>
        <r>
          <rPr>
            <sz val="10"/>
            <rFont val="Arial"/>
            <family val="2"/>
          </rPr>
          <t>CALC</t>
        </r>
      </text>
    </comment>
    <comment ref="M1" authorId="0" shapeId="0" xr:uid="{00000000-0006-0000-0300-000009000000}">
      <text>
        <r>
          <rPr>
            <sz val="10"/>
            <rFont val="Arial"/>
            <family val="2"/>
          </rPr>
          <t>CALC</t>
        </r>
      </text>
    </comment>
    <comment ref="N1" authorId="0" shapeId="0" xr:uid="{00000000-0006-0000-0300-00000A000000}">
      <text>
        <r>
          <rPr>
            <sz val="10"/>
            <rFont val="Arial"/>
            <family val="2"/>
          </rPr>
          <t>CALC</t>
        </r>
      </text>
    </comment>
    <comment ref="Q1" authorId="0" shapeId="0" xr:uid="{00000000-0006-0000-0300-00000B000000}">
      <text>
        <r>
          <rPr>
            <sz val="10"/>
            <rFont val="Arial"/>
            <family val="2"/>
          </rPr>
          <t>CALC</t>
        </r>
      </text>
    </comment>
    <comment ref="R1" authorId="0" shapeId="0" xr:uid="{00000000-0006-0000-0300-00000C000000}">
      <text>
        <r>
          <rPr>
            <sz val="10"/>
            <rFont val="Arial"/>
            <family val="2"/>
          </rPr>
          <t>CALC — served grossed up by waste</t>
        </r>
      </text>
    </comment>
    <comment ref="S1" authorId="0" shapeId="0" xr:uid="{00000000-0006-0000-0300-00000D000000}">
      <text>
        <r>
          <rPr>
            <sz val="10"/>
            <rFont val="Arial"/>
            <family val="2"/>
          </rPr>
          <t>CALC</t>
        </r>
      </text>
    </comment>
    <comment ref="T1" authorId="0" shapeId="0" xr:uid="{00000000-0006-0000-0300-00000E000000}">
      <text>
        <r>
          <rPr>
            <sz val="10"/>
            <rFont val="Arial"/>
            <family val="2"/>
          </rPr>
          <t>CALC</t>
        </r>
      </text>
    </comment>
    <comment ref="U1" authorId="0" shapeId="0" xr:uid="{00000000-0006-0000-0300-00000F000000}">
      <text>
        <r>
          <rPr>
            <sz val="10"/>
            <rFont val="Arial"/>
            <family val="2"/>
          </rPr>
          <t>CALC — what you'd record in Handlebar</t>
        </r>
      </text>
    </comment>
    <comment ref="V1" authorId="0" shapeId="0" xr:uid="{00000000-0006-0000-0300-000010000000}">
      <text>
        <r>
          <rPr>
            <sz val="10"/>
            <rFont val="Arial"/>
            <family val="2"/>
          </rPr>
          <t>CALC</t>
        </r>
      </text>
    </comment>
  </commentList>
</comments>
</file>

<file path=xl/sharedStrings.xml><?xml version="1.0" encoding="utf-8"?>
<sst xmlns="http://schemas.openxmlformats.org/spreadsheetml/2006/main" count="542" uniqueCount="238">
  <si>
    <t>name</t>
  </si>
  <si>
    <t>brand</t>
  </si>
  <si>
    <t>category</t>
  </si>
  <si>
    <t>subcategory</t>
  </si>
  <si>
    <t>unit_type</t>
  </si>
  <si>
    <t>size_ml</t>
  </si>
  <si>
    <t>case_size</t>
  </si>
  <si>
    <t>vendor</t>
  </si>
  <si>
    <t>case_cost</t>
  </si>
  <si>
    <t>unit_cost</t>
  </si>
  <si>
    <t>par_level</t>
  </si>
  <si>
    <t>reorder_point</t>
  </si>
  <si>
    <t>default_location</t>
  </si>
  <si>
    <t>upc</t>
  </si>
  <si>
    <t>active</t>
  </si>
  <si>
    <t>notes</t>
  </si>
  <si>
    <t>Antiquity Blue</t>
  </si>
  <si>
    <t>Spirits</t>
  </si>
  <si>
    <t>Whiskey</t>
  </si>
  <si>
    <t>bottle</t>
  </si>
  <si>
    <t>Black Label (Johnnie Walker)</t>
  </si>
  <si>
    <t>Black Velvet</t>
  </si>
  <si>
    <t>Bulleit Bourbon</t>
  </si>
  <si>
    <t>Bulleit Rye</t>
  </si>
  <si>
    <t>Chivas Regal</t>
  </si>
  <si>
    <t>Crown Royal</t>
  </si>
  <si>
    <t>Crown Royal Apple</t>
  </si>
  <si>
    <t>Crown Royal Peach</t>
  </si>
  <si>
    <t>Evan Williams (Well)</t>
  </si>
  <si>
    <t>Four Roses</t>
  </si>
  <si>
    <t>Glenfiddich 12</t>
  </si>
  <si>
    <t>Glenlivet 12</t>
  </si>
  <si>
    <t>Granite Mt.</t>
  </si>
  <si>
    <t>Indri</t>
  </si>
  <si>
    <t>Jack Daniel's</t>
  </si>
  <si>
    <t>Jack Daniel's Fire</t>
  </si>
  <si>
    <t>Jameson</t>
  </si>
  <si>
    <t>Jim Beam</t>
  </si>
  <si>
    <t>Maker's Mark</t>
  </si>
  <si>
    <t>Mr. Dowell's</t>
  </si>
  <si>
    <t>Pendleton</t>
  </si>
  <si>
    <t>Seagram's 7</t>
  </si>
  <si>
    <t>Seagram's VO</t>
  </si>
  <si>
    <t>Solan Black</t>
  </si>
  <si>
    <t>Solan Gold</t>
  </si>
  <si>
    <t>Wild Turkey</t>
  </si>
  <si>
    <t>Woodford Reserve</t>
  </si>
  <si>
    <t>Christian Brothers</t>
  </si>
  <si>
    <t>Brandy</t>
  </si>
  <si>
    <t>EJ Brandy</t>
  </si>
  <si>
    <t>Members Mark Vodka (Well)</t>
  </si>
  <si>
    <t>Vodka</t>
  </si>
  <si>
    <t>Absolut OG</t>
  </si>
  <si>
    <t>Absolut Citron</t>
  </si>
  <si>
    <t>Effen Cucumber</t>
  </si>
  <si>
    <t>Grey Goose</t>
  </si>
  <si>
    <t>Ketel One</t>
  </si>
  <si>
    <t>Ketel One Cucumber</t>
  </si>
  <si>
    <t>Smirnoff</t>
  </si>
  <si>
    <t>Smirnoff Raspberry</t>
  </si>
  <si>
    <t>Tito's</t>
  </si>
  <si>
    <t>Valkyrie</t>
  </si>
  <si>
    <t>Bombay Sapphire</t>
  </si>
  <si>
    <t>Gin</t>
  </si>
  <si>
    <t>Hendrick's</t>
  </si>
  <si>
    <t>Sonoran</t>
  </si>
  <si>
    <t>Tanqueray London Dry Gin</t>
  </si>
  <si>
    <t>Sonrita (Well)</t>
  </si>
  <si>
    <t>Tequila</t>
  </si>
  <si>
    <t>1800 Silver</t>
  </si>
  <si>
    <t>Cazadores Blanco</t>
  </si>
  <si>
    <t>Cazadores Reposado</t>
  </si>
  <si>
    <t>Corralejo Reposado</t>
  </si>
  <si>
    <t>Jose Cuervo Silver</t>
  </si>
  <si>
    <t>Jose Cuervo Gold</t>
  </si>
  <si>
    <t>Jose Cuervo Reposado</t>
  </si>
  <si>
    <t>Patron Silver</t>
  </si>
  <si>
    <t>Patron Anejo</t>
  </si>
  <si>
    <t>Teremana Blanco</t>
  </si>
  <si>
    <t>Members Mark Rum (Well)</t>
  </si>
  <si>
    <t>Rum</t>
  </si>
  <si>
    <t>Bacardi</t>
  </si>
  <si>
    <t>Captain Morgan</t>
  </si>
  <si>
    <t>Malibu</t>
  </si>
  <si>
    <t>Myer's Rum</t>
  </si>
  <si>
    <t>Old Monk Rum</t>
  </si>
  <si>
    <t>Fireball</t>
  </si>
  <si>
    <t>Liqueur</t>
  </si>
  <si>
    <t>Southern Comfort</t>
  </si>
  <si>
    <t>Old Monk 10000</t>
  </si>
  <si>
    <t>Beer</t>
  </si>
  <si>
    <t>Bottle</t>
  </si>
  <si>
    <t>Flying Horse</t>
  </si>
  <si>
    <t>Taj Mahal</t>
  </si>
  <si>
    <t>Kingfisher</t>
  </si>
  <si>
    <t>Coors</t>
  </si>
  <si>
    <t>Coors Light</t>
  </si>
  <si>
    <t>Miller Lite</t>
  </si>
  <si>
    <t>Bud Light</t>
  </si>
  <si>
    <t>Michelob Ultra</t>
  </si>
  <si>
    <t>Corona</t>
  </si>
  <si>
    <t>Pacifico</t>
  </si>
  <si>
    <t>Dos Equis</t>
  </si>
  <si>
    <t>Modelo</t>
  </si>
  <si>
    <t>Twisted Tea</t>
  </si>
  <si>
    <t>Guinness</t>
  </si>
  <si>
    <t>Corona NA</t>
  </si>
  <si>
    <t>NA</t>
  </si>
  <si>
    <t>NA Beer</t>
  </si>
  <si>
    <t>Angry Orchard</t>
  </si>
  <si>
    <t>Cider</t>
  </si>
  <si>
    <t>Merlot</t>
  </si>
  <si>
    <t>Wine</t>
  </si>
  <si>
    <t>Varietal</t>
  </si>
  <si>
    <t>Add producer/brand — varietal alone won't identify the bottle</t>
  </si>
  <si>
    <t>Malbec</t>
  </si>
  <si>
    <t>Cabernet Sauvignon</t>
  </si>
  <si>
    <t>Chardonnay</t>
  </si>
  <si>
    <t>Stella Rosa Black</t>
  </si>
  <si>
    <t>Coors Light Half Barrel</t>
  </si>
  <si>
    <t>Draft</t>
  </si>
  <si>
    <t>keg</t>
  </si>
  <si>
    <t>1/2 Barrel = 1984.0 oz. Pour economics on the Draft Economics tab.</t>
  </si>
  <si>
    <t>Modelo Quarter Barrel</t>
  </si>
  <si>
    <t>1/4 Barrel = 992.0 oz. Pour economics on the Draft Economics tab.</t>
  </si>
  <si>
    <t>Blue Moon Sixtel</t>
  </si>
  <si>
    <t>1/6 Barrel = 660.5 oz. Pour economics on the Draft Economics tab.</t>
  </si>
  <si>
    <t>Piehole Porter Sixtel</t>
  </si>
  <si>
    <t>Toasty Sixtel</t>
  </si>
  <si>
    <t>Prickly Pear Sixtel</t>
  </si>
  <si>
    <t>Hop Knot Sixtel</t>
  </si>
  <si>
    <t>WOW Wheat Sixtel</t>
  </si>
  <si>
    <t>Tower Station Sixtel</t>
  </si>
  <si>
    <t>vendor_name</t>
  </si>
  <si>
    <t>contact</t>
  </si>
  <si>
    <t>order_method</t>
  </si>
  <si>
    <t>lead_time_days</t>
  </si>
  <si>
    <t>(add your distributors here)</t>
  </si>
  <si>
    <t>location_name</t>
  </si>
  <si>
    <t>sort_order</t>
  </si>
  <si>
    <t>Speed Rail</t>
  </si>
  <si>
    <t>Count first - all open bottles, tenths</t>
  </si>
  <si>
    <t>Back Bar</t>
  </si>
  <si>
    <t>Open bottles, tenths</t>
  </si>
  <si>
    <t>Wine Rack</t>
  </si>
  <si>
    <t>Walk-In</t>
  </si>
  <si>
    <t>Packaged beer. Test WiFi in here.</t>
  </si>
  <si>
    <t>Storeroom</t>
  </si>
  <si>
    <t>Sealed backstock - quantities only, no fill levels</t>
  </si>
  <si>
    <t>Keg Size</t>
  </si>
  <si>
    <t>Total Oz</t>
  </si>
  <si>
    <t>Wholesale Cost</t>
  </si>
  <si>
    <t>Waste %</t>
  </si>
  <si>
    <t>Servable Oz</t>
  </si>
  <si>
    <t>Cost/16oz</t>
  </si>
  <si>
    <t>Cost/22oz</t>
  </si>
  <si>
    <t>Retail 16oz</t>
  </si>
  <si>
    <t>Retail 22oz</t>
  </si>
  <si>
    <t>Profit 16oz</t>
  </si>
  <si>
    <t>Margin 16oz</t>
  </si>
  <si>
    <t>Profit 22oz</t>
  </si>
  <si>
    <t>Margin 22oz</t>
  </si>
  <si>
    <t>16oz Sold</t>
  </si>
  <si>
    <t>22oz Sold</t>
  </si>
  <si>
    <t>Oz Served</t>
  </si>
  <si>
    <t>Oz Drawn</t>
  </si>
  <si>
    <t>Oz Remaining</t>
  </si>
  <si>
    <t>% Remaining</t>
  </si>
  <si>
    <t>Fill (tenths)</t>
  </si>
  <si>
    <t>Profit to Date</t>
  </si>
  <si>
    <t>Status</t>
  </si>
  <si>
    <t>1/2 Barrel</t>
  </si>
  <si>
    <t>On Tap</t>
  </si>
  <si>
    <t>1/4 Barrel</t>
  </si>
  <si>
    <t>Blue Moon</t>
  </si>
  <si>
    <t>1/6 Barrel</t>
  </si>
  <si>
    <t>Piehole Porter</t>
  </si>
  <si>
    <t>Toasty</t>
  </si>
  <si>
    <t>Prickly Pear</t>
  </si>
  <si>
    <t>Hop Knot</t>
  </si>
  <si>
    <t>WOW Wheat</t>
  </si>
  <si>
    <t>Tower Station</t>
  </si>
  <si>
    <t>Blue = you type. Black = calculated. Yellow = update as you sell.</t>
  </si>
  <si>
    <t>Oz Drawn grosses served ounces up by the waste factor — a 16oz pour actually pulls 17.8oz.</t>
  </si>
  <si>
    <t>Fill (tenths) is the number you'd record for this keg in Handlebar.</t>
  </si>
  <si>
    <t>Keg size reference</t>
  </si>
  <si>
    <t>Gallons</t>
  </si>
  <si>
    <t>16oz Pours</t>
  </si>
  <si>
    <t>22oz Pours</t>
  </si>
  <si>
    <t>16oz @ waste</t>
  </si>
  <si>
    <t>22oz @ waste</t>
  </si>
  <si>
    <t>1/2 Barrel (Full Keg)</t>
  </si>
  <si>
    <t>1/4 Barrel (Pony Keg)</t>
  </si>
  <si>
    <t>1/6 Barrel (Sixtel)</t>
  </si>
  <si>
    <t>50 Litre (European)</t>
  </si>
  <si>
    <t>30 Litre (European)</t>
  </si>
  <si>
    <t>Handlebar - product catalog</t>
  </si>
  <si>
    <t>Built from your existing Liquor Inventory sheet. 86 products carried over.</t>
  </si>
  <si>
    <t>Blue cells you type. Black cells calculate. Yellow cells matter most.</t>
  </si>
  <si>
    <t>Already done</t>
  </si>
  <si>
    <t>- Every product name and category from your sheet</t>
  </si>
  <si>
    <t>- Sensible size_ml and unit_type defaults</t>
  </si>
  <si>
    <t>- Dropdowns so categories, vendors and locations stay consistent</t>
  </si>
  <si>
    <t>What you need to add</t>
  </si>
  <si>
    <t>- case_cost - from your invoices. THE critical field; nothing works without it.</t>
  </si>
  <si>
    <t>- case_size - units per case.</t>
  </si>
  <si>
    <t>- vendor - fill the Vendors tab first, then use the dropdown.</t>
  </si>
  <si>
    <t>- par_level and reorder_point - your judgement, not data.</t>
  </si>
  <si>
    <t>- 1.75L rows - see below.</t>
  </si>
  <si>
    <t>Your 750 / 1.75L columns</t>
  </si>
  <si>
    <t>Your old sheet had one row per product with two stock columns. Handlebar needs one ROW per size -</t>
  </si>
  <si>
    <t>they carry different barcodes, different case costs, and different pour economics.</t>
  </si>
  <si>
    <t>Everything here defaults to 750ml. For anything you also stock as a handle: copy the row, set</t>
  </si>
  <si>
    <t>size_ml to 1750, and append ' 1.75L' to the name. Usually just wells and top sellers.</t>
  </si>
  <si>
    <t>Common sizes (size_ml)</t>
  </si>
  <si>
    <t>Half bottle</t>
  </si>
  <si>
    <t>Fifth</t>
  </si>
  <si>
    <t>Standard spirits/wine bottle</t>
  </si>
  <si>
    <t>Litre</t>
  </si>
  <si>
    <t>Handle</t>
  </si>
  <si>
    <t>1.75L</t>
  </si>
  <si>
    <t>Beer bottle (12 oz)</t>
  </si>
  <si>
    <t>Tallboy (16 oz)</t>
  </si>
  <si>
    <t>Sixtel keg</t>
  </si>
  <si>
    <t>5.16 gal</t>
  </si>
  <si>
    <t>Half barrel keg</t>
  </si>
  <si>
    <t>15.5 gal</t>
  </si>
  <si>
    <t>Cleanups applied - check these are right</t>
  </si>
  <si>
    <t>- 'Twested Tea' -&gt; 'Twisted Tea'</t>
  </si>
  <si>
    <t>- 'Melbec' -&gt; 'Malbec'</t>
  </si>
  <si>
    <t>- 'Casadores' -&gt; 'Cazadores'</t>
  </si>
  <si>
    <t>- Christian Brothers and EJ Brandy moved from Whiskey to Brandy</t>
  </si>
  <si>
    <t>- Fireball and Southern Comfort moved to Liqueur</t>
  </si>
  <si>
    <t>- Corona NA moved to the NA category</t>
  </si>
  <si>
    <t>- 'Members Mark' split into Vodka and Rum rows so names stay unique</t>
  </si>
  <si>
    <t>Don't aim for perfect. Get a cost against every row, then refine.</t>
  </si>
  <si>
    <t>Guinness NA</t>
  </si>
  <si>
    <t>Bud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</si>
</sst>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#,##0.0"/>
    <numFmt numFmtId="166" formatCode="0.0%"/>
    <numFmt numFmtId="167" formatCode="0.0"/>
  </numFmts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sz val="10"/>
      <name val="Arial"/>
      <family val="2"/>
    </font>
    <font>
      <i/>
      <sz val="9"/>
      <color rgb="FF666666"/>
      <name val="Arial"/>
      <charset val="1"/>
    </font>
    <font>
      <b/>
      <sz val="10"/>
      <color rgb="FF1F3A5F"/>
      <name val="Arial"/>
      <charset val="1"/>
    </font>
    <font>
      <b/>
      <sz val="13"/>
      <color rgb="FF1F3A5F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3" borderId="1" xfId="0" applyNumberFormat="1" applyFont="1" applyFill="1" applyBorder="1"/>
    <xf numFmtId="164" fontId="3" fillId="0" borderId="1" xfId="0" applyNumberFormat="1" applyFont="1" applyBorder="1"/>
    <xf numFmtId="0" fontId="2" fillId="3" borderId="1" xfId="0" applyFont="1" applyFill="1" applyBorder="1"/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5" fillId="0" borderId="1" xfId="0" applyFont="1" applyBorder="1"/>
    <xf numFmtId="0" fontId="0" fillId="0" borderId="1" xfId="0" applyBorder="1"/>
    <xf numFmtId="165" fontId="2" fillId="0" borderId="1" xfId="0" applyNumberFormat="1" applyFont="1" applyBorder="1"/>
    <xf numFmtId="164" fontId="2" fillId="0" borderId="1" xfId="0" applyNumberFormat="1" applyFont="1" applyBorder="1"/>
    <xf numFmtId="166" fontId="2" fillId="0" borderId="1" xfId="0" applyNumberFormat="1" applyFont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167" fontId="3" fillId="0" borderId="1" xfId="0" applyNumberFormat="1" applyFont="1" applyBorder="1"/>
    <xf numFmtId="0" fontId="5" fillId="0" borderId="0" xfId="0" applyFont="1"/>
    <xf numFmtId="0" fontId="6" fillId="0" borderId="0" xfId="0" applyFont="1"/>
    <xf numFmtId="0" fontId="1" fillId="2" borderId="1" xfId="0" applyFont="1" applyFill="1" applyBorder="1"/>
    <xf numFmtId="0" fontId="3" fillId="0" borderId="1" xfId="0" applyFont="1" applyBorder="1"/>
    <xf numFmtId="0" fontId="7" fillId="0" borderId="0" xfId="0" applyFont="1"/>
    <xf numFmtId="0" fontId="3" fillId="0" borderId="0" xfId="0" applyFont="1"/>
    <xf numFmtId="0" fontId="8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andleBar/handlebar-catalog_ol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s"/>
      <sheetName val="Vendors"/>
      <sheetName val="Locations"/>
      <sheetName val="Reference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8"/>
  <sheetViews>
    <sheetView tabSelected="1" zoomScaleNormal="100" workbookViewId="0">
      <pane ySplit="1" topLeftCell="A73" activePane="bottomLeft" state="frozen"/>
      <selection pane="bottomLeft" activeCell="F105" sqref="F105"/>
    </sheetView>
  </sheetViews>
  <sheetFormatPr baseColWidth="10" defaultColWidth="8.6640625" defaultRowHeight="15" x14ac:dyDescent="0.2"/>
  <cols>
    <col min="1" max="1" width="36" customWidth="1"/>
    <col min="2" max="2" width="18" customWidth="1"/>
    <col min="3" max="3" width="13" customWidth="1"/>
    <col min="4" max="4" width="15" customWidth="1"/>
    <col min="5" max="5" width="11" customWidth="1"/>
    <col min="6" max="7" width="10" customWidth="1"/>
    <col min="8" max="8" width="20" customWidth="1"/>
    <col min="9" max="10" width="11" customWidth="1"/>
    <col min="11" max="11" width="10" customWidth="1"/>
    <col min="12" max="12" width="13" customWidth="1"/>
    <col min="13" max="13" width="17" customWidth="1"/>
    <col min="14" max="14" width="15" customWidth="1"/>
    <col min="15" max="15" width="8" customWidth="1"/>
    <col min="16" max="16" width="34" customWidth="1"/>
  </cols>
  <sheetData>
    <row r="1" spans="1:16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 t="s">
        <v>16</v>
      </c>
      <c r="B2" s="2"/>
      <c r="C2" s="2" t="s">
        <v>17</v>
      </c>
      <c r="D2" s="2" t="s">
        <v>18</v>
      </c>
      <c r="E2" s="2" t="s">
        <v>19</v>
      </c>
      <c r="F2" s="2">
        <v>750</v>
      </c>
      <c r="G2" s="2"/>
      <c r="H2" s="2"/>
      <c r="I2" s="3"/>
      <c r="J2" s="4" t="str">
        <f t="shared" ref="J2:J33" si="0">IFERROR(I2/G2,"")</f>
        <v/>
      </c>
      <c r="K2" s="5"/>
      <c r="L2" s="5"/>
      <c r="M2" s="2"/>
      <c r="N2" s="2"/>
      <c r="O2" s="6" t="b">
        <f>TRUE()</f>
        <v>1</v>
      </c>
      <c r="P2" s="2"/>
    </row>
    <row r="3" spans="1:16" x14ac:dyDescent="0.2">
      <c r="A3" s="2" t="s">
        <v>20</v>
      </c>
      <c r="B3" s="2"/>
      <c r="C3" s="2" t="s">
        <v>17</v>
      </c>
      <c r="D3" s="2" t="s">
        <v>18</v>
      </c>
      <c r="E3" s="2" t="s">
        <v>19</v>
      </c>
      <c r="F3" s="2">
        <v>750</v>
      </c>
      <c r="G3" s="2"/>
      <c r="H3" s="2"/>
      <c r="I3" s="3"/>
      <c r="J3" s="4" t="str">
        <f t="shared" si="0"/>
        <v/>
      </c>
      <c r="K3" s="5"/>
      <c r="L3" s="5"/>
      <c r="M3" s="2"/>
      <c r="N3" s="2"/>
      <c r="O3" s="6" t="b">
        <f>TRUE()</f>
        <v>1</v>
      </c>
      <c r="P3" s="2"/>
    </row>
    <row r="4" spans="1:16" x14ac:dyDescent="0.2">
      <c r="A4" s="2" t="s">
        <v>21</v>
      </c>
      <c r="B4" s="2"/>
      <c r="C4" s="2" t="s">
        <v>17</v>
      </c>
      <c r="D4" s="2" t="s">
        <v>18</v>
      </c>
      <c r="E4" s="2" t="s">
        <v>19</v>
      </c>
      <c r="F4" s="2">
        <v>750</v>
      </c>
      <c r="G4" s="2"/>
      <c r="H4" s="2"/>
      <c r="I4" s="3"/>
      <c r="J4" s="4" t="str">
        <f t="shared" si="0"/>
        <v/>
      </c>
      <c r="K4" s="5"/>
      <c r="L4" s="5"/>
      <c r="M4" s="2"/>
      <c r="N4" s="2"/>
      <c r="O4" s="6" t="b">
        <f>TRUE()</f>
        <v>1</v>
      </c>
      <c r="P4" s="2"/>
    </row>
    <row r="5" spans="1:16" x14ac:dyDescent="0.2">
      <c r="A5" s="2" t="s">
        <v>22</v>
      </c>
      <c r="B5" s="2"/>
      <c r="C5" s="2" t="s">
        <v>17</v>
      </c>
      <c r="D5" s="2" t="s">
        <v>18</v>
      </c>
      <c r="E5" s="2" t="s">
        <v>19</v>
      </c>
      <c r="F5" s="2">
        <v>750</v>
      </c>
      <c r="G5" s="2"/>
      <c r="H5" s="2"/>
      <c r="I5" s="3"/>
      <c r="J5" s="4" t="str">
        <f t="shared" si="0"/>
        <v/>
      </c>
      <c r="K5" s="5"/>
      <c r="L5" s="5"/>
      <c r="M5" s="2"/>
      <c r="N5" s="2"/>
      <c r="O5" s="6" t="b">
        <f>TRUE()</f>
        <v>1</v>
      </c>
      <c r="P5" s="2"/>
    </row>
    <row r="6" spans="1:16" x14ac:dyDescent="0.2">
      <c r="A6" s="2" t="s">
        <v>23</v>
      </c>
      <c r="B6" s="2"/>
      <c r="C6" s="2" t="s">
        <v>17</v>
      </c>
      <c r="D6" s="2" t="s">
        <v>18</v>
      </c>
      <c r="E6" s="2" t="s">
        <v>19</v>
      </c>
      <c r="F6" s="2">
        <v>750</v>
      </c>
      <c r="G6" s="2"/>
      <c r="H6" s="2"/>
      <c r="I6" s="3"/>
      <c r="J6" s="4" t="str">
        <f t="shared" si="0"/>
        <v/>
      </c>
      <c r="K6" s="5"/>
      <c r="L6" s="5"/>
      <c r="M6" s="2"/>
      <c r="N6" s="2"/>
      <c r="O6" s="6" t="b">
        <f>TRUE()</f>
        <v>1</v>
      </c>
      <c r="P6" s="2"/>
    </row>
    <row r="7" spans="1:16" x14ac:dyDescent="0.2">
      <c r="A7" s="2" t="s">
        <v>24</v>
      </c>
      <c r="B7" s="2"/>
      <c r="C7" s="2" t="s">
        <v>17</v>
      </c>
      <c r="D7" s="2" t="s">
        <v>18</v>
      </c>
      <c r="E7" s="2" t="s">
        <v>19</v>
      </c>
      <c r="F7" s="2">
        <v>750</v>
      </c>
      <c r="G7" s="2"/>
      <c r="H7" s="2"/>
      <c r="I7" s="3"/>
      <c r="J7" s="4" t="str">
        <f t="shared" si="0"/>
        <v/>
      </c>
      <c r="K7" s="5"/>
      <c r="L7" s="5"/>
      <c r="M7" s="2"/>
      <c r="N7" s="2"/>
      <c r="O7" s="6" t="b">
        <f>TRUE()</f>
        <v>1</v>
      </c>
      <c r="P7" s="2"/>
    </row>
    <row r="8" spans="1:16" x14ac:dyDescent="0.2">
      <c r="A8" s="2" t="s">
        <v>25</v>
      </c>
      <c r="B8" s="2"/>
      <c r="C8" s="2" t="s">
        <v>17</v>
      </c>
      <c r="D8" s="2" t="s">
        <v>18</v>
      </c>
      <c r="E8" s="2" t="s">
        <v>19</v>
      </c>
      <c r="F8" s="2">
        <v>750</v>
      </c>
      <c r="G8" s="2"/>
      <c r="H8" s="2"/>
      <c r="I8" s="3"/>
      <c r="J8" s="4" t="str">
        <f t="shared" si="0"/>
        <v/>
      </c>
      <c r="K8" s="5"/>
      <c r="L8" s="5"/>
      <c r="M8" s="2"/>
      <c r="N8" s="2"/>
      <c r="O8" s="6" t="b">
        <f>TRUE()</f>
        <v>1</v>
      </c>
      <c r="P8" s="2"/>
    </row>
    <row r="9" spans="1:16" x14ac:dyDescent="0.2">
      <c r="A9" s="2" t="s">
        <v>26</v>
      </c>
      <c r="B9" s="2"/>
      <c r="C9" s="2" t="s">
        <v>17</v>
      </c>
      <c r="D9" s="2" t="s">
        <v>18</v>
      </c>
      <c r="E9" s="2" t="s">
        <v>19</v>
      </c>
      <c r="F9" s="2">
        <v>750</v>
      </c>
      <c r="G9" s="2"/>
      <c r="H9" s="2"/>
      <c r="I9" s="3"/>
      <c r="J9" s="4" t="str">
        <f t="shared" si="0"/>
        <v/>
      </c>
      <c r="K9" s="5"/>
      <c r="L9" s="5"/>
      <c r="M9" s="2"/>
      <c r="N9" s="2"/>
      <c r="O9" s="6" t="b">
        <f>TRUE()</f>
        <v>1</v>
      </c>
      <c r="P9" s="2"/>
    </row>
    <row r="10" spans="1:16" x14ac:dyDescent="0.2">
      <c r="A10" s="2" t="s">
        <v>27</v>
      </c>
      <c r="B10" s="2"/>
      <c r="C10" s="2" t="s">
        <v>17</v>
      </c>
      <c r="D10" s="2" t="s">
        <v>18</v>
      </c>
      <c r="E10" s="2" t="s">
        <v>19</v>
      </c>
      <c r="F10" s="2">
        <v>750</v>
      </c>
      <c r="G10" s="2"/>
      <c r="H10" s="2"/>
      <c r="I10" s="3"/>
      <c r="J10" s="4" t="str">
        <f t="shared" si="0"/>
        <v/>
      </c>
      <c r="K10" s="5"/>
      <c r="L10" s="5"/>
      <c r="M10" s="2"/>
      <c r="N10" s="2"/>
      <c r="O10" s="6" t="b">
        <f>TRUE()</f>
        <v>1</v>
      </c>
      <c r="P10" s="2"/>
    </row>
    <row r="11" spans="1:16" x14ac:dyDescent="0.2">
      <c r="A11" s="2" t="s">
        <v>28</v>
      </c>
      <c r="B11" s="2"/>
      <c r="C11" s="2" t="s">
        <v>17</v>
      </c>
      <c r="D11" s="2" t="s">
        <v>18</v>
      </c>
      <c r="E11" s="2" t="s">
        <v>19</v>
      </c>
      <c r="F11" s="2">
        <v>750</v>
      </c>
      <c r="G11" s="2"/>
      <c r="H11" s="2"/>
      <c r="I11" s="3"/>
      <c r="J11" s="4" t="str">
        <f t="shared" si="0"/>
        <v/>
      </c>
      <c r="K11" s="5"/>
      <c r="L11" s="5"/>
      <c r="M11" s="2"/>
      <c r="N11" s="2"/>
      <c r="O11" s="6" t="b">
        <f>TRUE()</f>
        <v>1</v>
      </c>
      <c r="P11" s="2"/>
    </row>
    <row r="12" spans="1:16" x14ac:dyDescent="0.2">
      <c r="A12" s="2" t="s">
        <v>29</v>
      </c>
      <c r="B12" s="2"/>
      <c r="C12" s="2" t="s">
        <v>17</v>
      </c>
      <c r="D12" s="2" t="s">
        <v>18</v>
      </c>
      <c r="E12" s="2" t="s">
        <v>19</v>
      </c>
      <c r="F12" s="2">
        <v>750</v>
      </c>
      <c r="G12" s="2"/>
      <c r="H12" s="2"/>
      <c r="I12" s="3"/>
      <c r="J12" s="4" t="str">
        <f t="shared" si="0"/>
        <v/>
      </c>
      <c r="K12" s="5"/>
      <c r="L12" s="5"/>
      <c r="M12" s="2"/>
      <c r="N12" s="2"/>
      <c r="O12" s="6" t="b">
        <f>TRUE()</f>
        <v>1</v>
      </c>
      <c r="P12" s="2"/>
    </row>
    <row r="13" spans="1:16" x14ac:dyDescent="0.2">
      <c r="A13" s="2" t="s">
        <v>30</v>
      </c>
      <c r="B13" s="2"/>
      <c r="C13" s="2" t="s">
        <v>17</v>
      </c>
      <c r="D13" s="2" t="s">
        <v>18</v>
      </c>
      <c r="E13" s="2" t="s">
        <v>19</v>
      </c>
      <c r="F13" s="2">
        <v>750</v>
      </c>
      <c r="G13" s="2"/>
      <c r="H13" s="2"/>
      <c r="I13" s="3"/>
      <c r="J13" s="4" t="str">
        <f t="shared" si="0"/>
        <v/>
      </c>
      <c r="K13" s="5"/>
      <c r="L13" s="5"/>
      <c r="M13" s="2"/>
      <c r="N13" s="2"/>
      <c r="O13" s="6" t="b">
        <f>TRUE()</f>
        <v>1</v>
      </c>
      <c r="P13" s="2"/>
    </row>
    <row r="14" spans="1:16" x14ac:dyDescent="0.2">
      <c r="A14" s="2" t="s">
        <v>31</v>
      </c>
      <c r="B14" s="2"/>
      <c r="C14" s="2" t="s">
        <v>17</v>
      </c>
      <c r="D14" s="2" t="s">
        <v>18</v>
      </c>
      <c r="E14" s="2" t="s">
        <v>19</v>
      </c>
      <c r="F14" s="2">
        <v>750</v>
      </c>
      <c r="G14" s="2"/>
      <c r="H14" s="2"/>
      <c r="I14" s="3"/>
      <c r="J14" s="4" t="str">
        <f t="shared" si="0"/>
        <v/>
      </c>
      <c r="K14" s="5"/>
      <c r="L14" s="5"/>
      <c r="M14" s="2"/>
      <c r="N14" s="2"/>
      <c r="O14" s="6" t="b">
        <f>TRUE()</f>
        <v>1</v>
      </c>
      <c r="P14" s="2"/>
    </row>
    <row r="15" spans="1:16" x14ac:dyDescent="0.2">
      <c r="A15" s="2" t="s">
        <v>32</v>
      </c>
      <c r="B15" s="2"/>
      <c r="C15" s="2" t="s">
        <v>17</v>
      </c>
      <c r="D15" s="2" t="s">
        <v>18</v>
      </c>
      <c r="E15" s="2" t="s">
        <v>19</v>
      </c>
      <c r="F15" s="2">
        <v>750</v>
      </c>
      <c r="G15" s="2"/>
      <c r="H15" s="2"/>
      <c r="I15" s="3"/>
      <c r="J15" s="4" t="str">
        <f t="shared" si="0"/>
        <v/>
      </c>
      <c r="K15" s="5"/>
      <c r="L15" s="5"/>
      <c r="M15" s="2"/>
      <c r="N15" s="2"/>
      <c r="O15" s="6" t="b">
        <f>TRUE()</f>
        <v>1</v>
      </c>
      <c r="P15" s="2"/>
    </row>
    <row r="16" spans="1:16" x14ac:dyDescent="0.2">
      <c r="A16" s="2" t="s">
        <v>33</v>
      </c>
      <c r="B16" s="2"/>
      <c r="C16" s="2" t="s">
        <v>17</v>
      </c>
      <c r="D16" s="2" t="s">
        <v>18</v>
      </c>
      <c r="E16" s="2" t="s">
        <v>19</v>
      </c>
      <c r="F16" s="2">
        <v>750</v>
      </c>
      <c r="G16" s="2"/>
      <c r="H16" s="2"/>
      <c r="I16" s="3"/>
      <c r="J16" s="4" t="str">
        <f t="shared" si="0"/>
        <v/>
      </c>
      <c r="K16" s="5"/>
      <c r="L16" s="5"/>
      <c r="M16" s="2"/>
      <c r="N16" s="2"/>
      <c r="O16" s="6" t="b">
        <f>TRUE()</f>
        <v>1</v>
      </c>
      <c r="P16" s="2"/>
    </row>
    <row r="17" spans="1:16" x14ac:dyDescent="0.2">
      <c r="A17" s="2" t="s">
        <v>34</v>
      </c>
      <c r="B17" s="2"/>
      <c r="C17" s="2" t="s">
        <v>17</v>
      </c>
      <c r="D17" s="2" t="s">
        <v>18</v>
      </c>
      <c r="E17" s="2" t="s">
        <v>19</v>
      </c>
      <c r="F17" s="2">
        <v>750</v>
      </c>
      <c r="G17" s="2"/>
      <c r="H17" s="2"/>
      <c r="I17" s="3"/>
      <c r="J17" s="4" t="str">
        <f t="shared" si="0"/>
        <v/>
      </c>
      <c r="K17" s="5"/>
      <c r="L17" s="5"/>
      <c r="M17" s="2"/>
      <c r="N17" s="2"/>
      <c r="O17" s="6" t="b">
        <f>TRUE()</f>
        <v>1</v>
      </c>
      <c r="P17" s="2"/>
    </row>
    <row r="18" spans="1:16" x14ac:dyDescent="0.2">
      <c r="A18" s="2" t="s">
        <v>35</v>
      </c>
      <c r="B18" s="2"/>
      <c r="C18" s="2" t="s">
        <v>17</v>
      </c>
      <c r="D18" s="2" t="s">
        <v>18</v>
      </c>
      <c r="E18" s="2" t="s">
        <v>19</v>
      </c>
      <c r="F18" s="2">
        <v>750</v>
      </c>
      <c r="G18" s="2"/>
      <c r="H18" s="2"/>
      <c r="I18" s="3"/>
      <c r="J18" s="4" t="str">
        <f t="shared" si="0"/>
        <v/>
      </c>
      <c r="K18" s="5"/>
      <c r="L18" s="5"/>
      <c r="M18" s="2"/>
      <c r="N18" s="2"/>
      <c r="O18" s="6" t="b">
        <f>TRUE()</f>
        <v>1</v>
      </c>
      <c r="P18" s="2"/>
    </row>
    <row r="19" spans="1:16" x14ac:dyDescent="0.2">
      <c r="A19" s="2" t="s">
        <v>36</v>
      </c>
      <c r="B19" s="2"/>
      <c r="C19" s="2" t="s">
        <v>17</v>
      </c>
      <c r="D19" s="2" t="s">
        <v>18</v>
      </c>
      <c r="E19" s="2" t="s">
        <v>19</v>
      </c>
      <c r="F19" s="2">
        <v>750</v>
      </c>
      <c r="G19" s="2"/>
      <c r="H19" s="2"/>
      <c r="I19" s="3"/>
      <c r="J19" s="4" t="str">
        <f t="shared" si="0"/>
        <v/>
      </c>
      <c r="K19" s="5"/>
      <c r="L19" s="5"/>
      <c r="M19" s="2"/>
      <c r="N19" s="2"/>
      <c r="O19" s="6" t="b">
        <f>TRUE()</f>
        <v>1</v>
      </c>
      <c r="P19" s="2"/>
    </row>
    <row r="20" spans="1:16" x14ac:dyDescent="0.2">
      <c r="A20" s="2" t="s">
        <v>37</v>
      </c>
      <c r="B20" s="2"/>
      <c r="C20" s="2" t="s">
        <v>17</v>
      </c>
      <c r="D20" s="2" t="s">
        <v>18</v>
      </c>
      <c r="E20" s="2" t="s">
        <v>19</v>
      </c>
      <c r="F20" s="2">
        <v>750</v>
      </c>
      <c r="G20" s="2"/>
      <c r="H20" s="2"/>
      <c r="I20" s="3"/>
      <c r="J20" s="4" t="str">
        <f t="shared" si="0"/>
        <v/>
      </c>
      <c r="K20" s="5"/>
      <c r="L20" s="5"/>
      <c r="M20" s="2"/>
      <c r="N20" s="2"/>
      <c r="O20" s="6" t="b">
        <f>TRUE()</f>
        <v>1</v>
      </c>
      <c r="P20" s="2"/>
    </row>
    <row r="21" spans="1:16" x14ac:dyDescent="0.2">
      <c r="A21" s="2" t="s">
        <v>38</v>
      </c>
      <c r="B21" s="2"/>
      <c r="C21" s="2" t="s">
        <v>17</v>
      </c>
      <c r="D21" s="2" t="s">
        <v>18</v>
      </c>
      <c r="E21" s="2" t="s">
        <v>19</v>
      </c>
      <c r="F21" s="2">
        <v>750</v>
      </c>
      <c r="G21" s="2"/>
      <c r="H21" s="2"/>
      <c r="I21" s="3"/>
      <c r="J21" s="4" t="str">
        <f t="shared" si="0"/>
        <v/>
      </c>
      <c r="K21" s="5"/>
      <c r="L21" s="5"/>
      <c r="M21" s="2"/>
      <c r="N21" s="2"/>
      <c r="O21" s="6" t="b">
        <f>TRUE()</f>
        <v>1</v>
      </c>
      <c r="P21" s="2"/>
    </row>
    <row r="22" spans="1:16" x14ac:dyDescent="0.2">
      <c r="A22" s="2" t="s">
        <v>39</v>
      </c>
      <c r="B22" s="2"/>
      <c r="C22" s="2" t="s">
        <v>17</v>
      </c>
      <c r="D22" s="2" t="s">
        <v>18</v>
      </c>
      <c r="E22" s="2" t="s">
        <v>19</v>
      </c>
      <c r="F22" s="2">
        <v>750</v>
      </c>
      <c r="G22" s="2"/>
      <c r="H22" s="2"/>
      <c r="I22" s="3"/>
      <c r="J22" s="4" t="str">
        <f t="shared" si="0"/>
        <v/>
      </c>
      <c r="K22" s="5"/>
      <c r="L22" s="5"/>
      <c r="M22" s="2"/>
      <c r="N22" s="2"/>
      <c r="O22" s="6" t="b">
        <f>TRUE()</f>
        <v>1</v>
      </c>
      <c r="P22" s="2"/>
    </row>
    <row r="23" spans="1:16" x14ac:dyDescent="0.2">
      <c r="A23" s="2" t="s">
        <v>40</v>
      </c>
      <c r="B23" s="2"/>
      <c r="C23" s="2" t="s">
        <v>17</v>
      </c>
      <c r="D23" s="2" t="s">
        <v>18</v>
      </c>
      <c r="E23" s="2" t="s">
        <v>19</v>
      </c>
      <c r="F23" s="2">
        <v>750</v>
      </c>
      <c r="G23" s="2"/>
      <c r="H23" s="2"/>
      <c r="I23" s="3"/>
      <c r="J23" s="4" t="str">
        <f t="shared" si="0"/>
        <v/>
      </c>
      <c r="K23" s="5"/>
      <c r="L23" s="5"/>
      <c r="M23" s="2"/>
      <c r="N23" s="2"/>
      <c r="O23" s="6" t="b">
        <f>TRUE()</f>
        <v>1</v>
      </c>
      <c r="P23" s="2"/>
    </row>
    <row r="24" spans="1:16" x14ac:dyDescent="0.2">
      <c r="A24" s="2" t="s">
        <v>41</v>
      </c>
      <c r="B24" s="2"/>
      <c r="C24" s="2" t="s">
        <v>17</v>
      </c>
      <c r="D24" s="2" t="s">
        <v>18</v>
      </c>
      <c r="E24" s="2" t="s">
        <v>19</v>
      </c>
      <c r="F24" s="2">
        <v>750</v>
      </c>
      <c r="G24" s="2"/>
      <c r="H24" s="2"/>
      <c r="I24" s="3"/>
      <c r="J24" s="4" t="str">
        <f t="shared" si="0"/>
        <v/>
      </c>
      <c r="K24" s="5"/>
      <c r="L24" s="5"/>
      <c r="M24" s="2"/>
      <c r="N24" s="2"/>
      <c r="O24" s="6" t="b">
        <f>TRUE()</f>
        <v>1</v>
      </c>
      <c r="P24" s="2"/>
    </row>
    <row r="25" spans="1:16" x14ac:dyDescent="0.2">
      <c r="A25" s="2" t="s">
        <v>42</v>
      </c>
      <c r="B25" s="2"/>
      <c r="C25" s="2" t="s">
        <v>17</v>
      </c>
      <c r="D25" s="2" t="s">
        <v>18</v>
      </c>
      <c r="E25" s="2" t="s">
        <v>19</v>
      </c>
      <c r="F25" s="2">
        <v>750</v>
      </c>
      <c r="G25" s="2"/>
      <c r="H25" s="2"/>
      <c r="I25" s="3"/>
      <c r="J25" s="4" t="str">
        <f t="shared" si="0"/>
        <v/>
      </c>
      <c r="K25" s="5"/>
      <c r="L25" s="5"/>
      <c r="M25" s="2"/>
      <c r="N25" s="2"/>
      <c r="O25" s="6" t="b">
        <f>TRUE()</f>
        <v>1</v>
      </c>
      <c r="P25" s="2"/>
    </row>
    <row r="26" spans="1:16" x14ac:dyDescent="0.2">
      <c r="A26" s="2" t="s">
        <v>43</v>
      </c>
      <c r="B26" s="2"/>
      <c r="C26" s="2" t="s">
        <v>17</v>
      </c>
      <c r="D26" s="2" t="s">
        <v>18</v>
      </c>
      <c r="E26" s="2" t="s">
        <v>19</v>
      </c>
      <c r="F26" s="2">
        <v>750</v>
      </c>
      <c r="G26" s="2"/>
      <c r="H26" s="2"/>
      <c r="I26" s="3"/>
      <c r="J26" s="4" t="str">
        <f t="shared" si="0"/>
        <v/>
      </c>
      <c r="K26" s="5"/>
      <c r="L26" s="5"/>
      <c r="M26" s="2"/>
      <c r="N26" s="2"/>
      <c r="O26" s="6" t="b">
        <f>TRUE()</f>
        <v>1</v>
      </c>
      <c r="P26" s="2"/>
    </row>
    <row r="27" spans="1:16" x14ac:dyDescent="0.2">
      <c r="A27" s="2" t="s">
        <v>44</v>
      </c>
      <c r="B27" s="2"/>
      <c r="C27" s="2" t="s">
        <v>17</v>
      </c>
      <c r="D27" s="2" t="s">
        <v>18</v>
      </c>
      <c r="E27" s="2" t="s">
        <v>19</v>
      </c>
      <c r="F27" s="2">
        <v>750</v>
      </c>
      <c r="G27" s="2"/>
      <c r="H27" s="2"/>
      <c r="I27" s="3"/>
      <c r="J27" s="4" t="str">
        <f t="shared" si="0"/>
        <v/>
      </c>
      <c r="K27" s="5"/>
      <c r="L27" s="5"/>
      <c r="M27" s="2"/>
      <c r="N27" s="2"/>
      <c r="O27" s="6" t="b">
        <f>TRUE()</f>
        <v>1</v>
      </c>
      <c r="P27" s="2"/>
    </row>
    <row r="28" spans="1:16" x14ac:dyDescent="0.2">
      <c r="A28" s="2" t="s">
        <v>45</v>
      </c>
      <c r="B28" s="2"/>
      <c r="C28" s="2" t="s">
        <v>17</v>
      </c>
      <c r="D28" s="2" t="s">
        <v>18</v>
      </c>
      <c r="E28" s="2" t="s">
        <v>19</v>
      </c>
      <c r="F28" s="2">
        <v>750</v>
      </c>
      <c r="G28" s="2"/>
      <c r="H28" s="2"/>
      <c r="I28" s="3"/>
      <c r="J28" s="4" t="str">
        <f t="shared" si="0"/>
        <v/>
      </c>
      <c r="K28" s="5"/>
      <c r="L28" s="5"/>
      <c r="M28" s="2"/>
      <c r="N28" s="2"/>
      <c r="O28" s="6" t="b">
        <f>TRUE()</f>
        <v>1</v>
      </c>
      <c r="P28" s="2"/>
    </row>
    <row r="29" spans="1:16" x14ac:dyDescent="0.2">
      <c r="A29" s="2" t="s">
        <v>46</v>
      </c>
      <c r="B29" s="2"/>
      <c r="C29" s="2" t="s">
        <v>17</v>
      </c>
      <c r="D29" s="2" t="s">
        <v>18</v>
      </c>
      <c r="E29" s="2" t="s">
        <v>19</v>
      </c>
      <c r="F29" s="2">
        <v>750</v>
      </c>
      <c r="G29" s="2"/>
      <c r="H29" s="2"/>
      <c r="I29" s="3"/>
      <c r="J29" s="4" t="str">
        <f t="shared" si="0"/>
        <v/>
      </c>
      <c r="K29" s="5"/>
      <c r="L29" s="5"/>
      <c r="M29" s="2"/>
      <c r="N29" s="2"/>
      <c r="O29" s="6" t="b">
        <f>TRUE()</f>
        <v>1</v>
      </c>
      <c r="P29" s="2"/>
    </row>
    <row r="30" spans="1:16" x14ac:dyDescent="0.2">
      <c r="A30" s="2" t="s">
        <v>47</v>
      </c>
      <c r="B30" s="2"/>
      <c r="C30" s="2" t="s">
        <v>17</v>
      </c>
      <c r="D30" s="2" t="s">
        <v>48</v>
      </c>
      <c r="E30" s="2" t="s">
        <v>19</v>
      </c>
      <c r="F30" s="2">
        <v>750</v>
      </c>
      <c r="G30" s="2"/>
      <c r="H30" s="2"/>
      <c r="I30" s="3"/>
      <c r="J30" s="4" t="str">
        <f t="shared" si="0"/>
        <v/>
      </c>
      <c r="K30" s="5"/>
      <c r="L30" s="5"/>
      <c r="M30" s="2"/>
      <c r="N30" s="2"/>
      <c r="O30" s="6" t="b">
        <f>TRUE()</f>
        <v>1</v>
      </c>
      <c r="P30" s="2"/>
    </row>
    <row r="31" spans="1:16" x14ac:dyDescent="0.2">
      <c r="A31" s="2" t="s">
        <v>49</v>
      </c>
      <c r="B31" s="2"/>
      <c r="C31" s="2" t="s">
        <v>17</v>
      </c>
      <c r="D31" s="2" t="s">
        <v>48</v>
      </c>
      <c r="E31" s="2" t="s">
        <v>19</v>
      </c>
      <c r="F31" s="2">
        <v>750</v>
      </c>
      <c r="G31" s="2"/>
      <c r="H31" s="2"/>
      <c r="I31" s="3"/>
      <c r="J31" s="4" t="str">
        <f t="shared" si="0"/>
        <v/>
      </c>
      <c r="K31" s="5"/>
      <c r="L31" s="5"/>
      <c r="M31" s="2"/>
      <c r="N31" s="2"/>
      <c r="O31" s="6" t="b">
        <f>TRUE()</f>
        <v>1</v>
      </c>
      <c r="P31" s="2"/>
    </row>
    <row r="32" spans="1:16" x14ac:dyDescent="0.2">
      <c r="A32" s="2" t="s">
        <v>50</v>
      </c>
      <c r="B32" s="2"/>
      <c r="C32" s="2" t="s">
        <v>17</v>
      </c>
      <c r="D32" s="2" t="s">
        <v>51</v>
      </c>
      <c r="E32" s="2" t="s">
        <v>19</v>
      </c>
      <c r="F32" s="2">
        <v>750</v>
      </c>
      <c r="G32" s="2"/>
      <c r="H32" s="2"/>
      <c r="I32" s="3"/>
      <c r="J32" s="4" t="str">
        <f t="shared" si="0"/>
        <v/>
      </c>
      <c r="K32" s="5"/>
      <c r="L32" s="5"/>
      <c r="M32" s="2"/>
      <c r="N32" s="2"/>
      <c r="O32" s="6" t="b">
        <f>TRUE()</f>
        <v>1</v>
      </c>
      <c r="P32" s="2"/>
    </row>
    <row r="33" spans="1:16" x14ac:dyDescent="0.2">
      <c r="A33" s="2" t="s">
        <v>52</v>
      </c>
      <c r="B33" s="2"/>
      <c r="C33" s="2" t="s">
        <v>17</v>
      </c>
      <c r="D33" s="2" t="s">
        <v>51</v>
      </c>
      <c r="E33" s="2" t="s">
        <v>19</v>
      </c>
      <c r="F33" s="2">
        <v>750</v>
      </c>
      <c r="G33" s="2"/>
      <c r="H33" s="2"/>
      <c r="I33" s="3"/>
      <c r="J33" s="4" t="str">
        <f t="shared" si="0"/>
        <v/>
      </c>
      <c r="K33" s="5"/>
      <c r="L33" s="5"/>
      <c r="M33" s="2"/>
      <c r="N33" s="2"/>
      <c r="O33" s="6" t="b">
        <f>TRUE()</f>
        <v>1</v>
      </c>
      <c r="P33" s="2"/>
    </row>
    <row r="34" spans="1:16" x14ac:dyDescent="0.2">
      <c r="A34" s="2" t="s">
        <v>53</v>
      </c>
      <c r="B34" s="2"/>
      <c r="C34" s="2" t="s">
        <v>17</v>
      </c>
      <c r="D34" s="2" t="s">
        <v>51</v>
      </c>
      <c r="E34" s="2" t="s">
        <v>19</v>
      </c>
      <c r="F34" s="2">
        <v>750</v>
      </c>
      <c r="G34" s="2"/>
      <c r="H34" s="2"/>
      <c r="I34" s="3"/>
      <c r="J34" s="4" t="str">
        <f t="shared" ref="J34:J65" si="1">IFERROR(I34/G34,"")</f>
        <v/>
      </c>
      <c r="K34" s="5"/>
      <c r="L34" s="5"/>
      <c r="M34" s="2"/>
      <c r="N34" s="2"/>
      <c r="O34" s="6" t="b">
        <f>TRUE()</f>
        <v>1</v>
      </c>
      <c r="P34" s="2"/>
    </row>
    <row r="35" spans="1:16" x14ac:dyDescent="0.2">
      <c r="A35" s="2" t="s">
        <v>54</v>
      </c>
      <c r="B35" s="2"/>
      <c r="C35" s="2" t="s">
        <v>17</v>
      </c>
      <c r="D35" s="2" t="s">
        <v>51</v>
      </c>
      <c r="E35" s="2" t="s">
        <v>19</v>
      </c>
      <c r="F35" s="2">
        <v>750</v>
      </c>
      <c r="G35" s="2"/>
      <c r="H35" s="2"/>
      <c r="I35" s="3"/>
      <c r="J35" s="4" t="str">
        <f t="shared" si="1"/>
        <v/>
      </c>
      <c r="K35" s="5"/>
      <c r="L35" s="5"/>
      <c r="M35" s="2"/>
      <c r="N35" s="2"/>
      <c r="O35" s="6" t="b">
        <f>TRUE()</f>
        <v>1</v>
      </c>
      <c r="P35" s="2"/>
    </row>
    <row r="36" spans="1:16" x14ac:dyDescent="0.2">
      <c r="A36" s="2" t="s">
        <v>55</v>
      </c>
      <c r="B36" s="2"/>
      <c r="C36" s="2" t="s">
        <v>17</v>
      </c>
      <c r="D36" s="2" t="s">
        <v>51</v>
      </c>
      <c r="E36" s="2" t="s">
        <v>19</v>
      </c>
      <c r="F36" s="2">
        <v>750</v>
      </c>
      <c r="G36" s="2"/>
      <c r="H36" s="2"/>
      <c r="I36" s="3"/>
      <c r="J36" s="4" t="str">
        <f t="shared" si="1"/>
        <v/>
      </c>
      <c r="K36" s="5"/>
      <c r="L36" s="5"/>
      <c r="M36" s="2"/>
      <c r="N36" s="2"/>
      <c r="O36" s="6" t="b">
        <f>TRUE()</f>
        <v>1</v>
      </c>
      <c r="P36" s="2"/>
    </row>
    <row r="37" spans="1:16" x14ac:dyDescent="0.2">
      <c r="A37" s="2" t="s">
        <v>56</v>
      </c>
      <c r="B37" s="2"/>
      <c r="C37" s="2" t="s">
        <v>17</v>
      </c>
      <c r="D37" s="2" t="s">
        <v>51</v>
      </c>
      <c r="E37" s="2" t="s">
        <v>19</v>
      </c>
      <c r="F37" s="2">
        <v>750</v>
      </c>
      <c r="G37" s="2"/>
      <c r="H37" s="2"/>
      <c r="I37" s="3"/>
      <c r="J37" s="4" t="str">
        <f t="shared" si="1"/>
        <v/>
      </c>
      <c r="K37" s="5"/>
      <c r="L37" s="5"/>
      <c r="M37" s="2"/>
      <c r="N37" s="2"/>
      <c r="O37" s="6" t="b">
        <f>TRUE()</f>
        <v>1</v>
      </c>
      <c r="P37" s="2"/>
    </row>
    <row r="38" spans="1:16" x14ac:dyDescent="0.2">
      <c r="A38" s="2" t="s">
        <v>57</v>
      </c>
      <c r="B38" s="2"/>
      <c r="C38" s="2" t="s">
        <v>17</v>
      </c>
      <c r="D38" s="2" t="s">
        <v>51</v>
      </c>
      <c r="E38" s="2" t="s">
        <v>19</v>
      </c>
      <c r="F38" s="2">
        <v>750</v>
      </c>
      <c r="G38" s="2"/>
      <c r="H38" s="2"/>
      <c r="I38" s="3"/>
      <c r="J38" s="4" t="str">
        <f t="shared" si="1"/>
        <v/>
      </c>
      <c r="K38" s="5"/>
      <c r="L38" s="5"/>
      <c r="M38" s="2"/>
      <c r="N38" s="2"/>
      <c r="O38" s="6" t="b">
        <f>TRUE()</f>
        <v>1</v>
      </c>
      <c r="P38" s="2"/>
    </row>
    <row r="39" spans="1:16" x14ac:dyDescent="0.2">
      <c r="A39" s="2" t="s">
        <v>58</v>
      </c>
      <c r="B39" s="2"/>
      <c r="C39" s="2" t="s">
        <v>17</v>
      </c>
      <c r="D39" s="2" t="s">
        <v>51</v>
      </c>
      <c r="E39" s="2" t="s">
        <v>19</v>
      </c>
      <c r="F39" s="2">
        <v>750</v>
      </c>
      <c r="G39" s="2"/>
      <c r="H39" s="2"/>
      <c r="I39" s="3"/>
      <c r="J39" s="4" t="str">
        <f t="shared" si="1"/>
        <v/>
      </c>
      <c r="K39" s="5"/>
      <c r="L39" s="5"/>
      <c r="M39" s="2"/>
      <c r="N39" s="2"/>
      <c r="O39" s="6" t="b">
        <f>TRUE()</f>
        <v>1</v>
      </c>
      <c r="P39" s="2"/>
    </row>
    <row r="40" spans="1:16" x14ac:dyDescent="0.2">
      <c r="A40" s="2" t="s">
        <v>59</v>
      </c>
      <c r="B40" s="2"/>
      <c r="C40" s="2" t="s">
        <v>17</v>
      </c>
      <c r="D40" s="2" t="s">
        <v>51</v>
      </c>
      <c r="E40" s="2" t="s">
        <v>19</v>
      </c>
      <c r="F40" s="2">
        <v>750</v>
      </c>
      <c r="G40" s="2"/>
      <c r="H40" s="2"/>
      <c r="I40" s="3"/>
      <c r="J40" s="4" t="str">
        <f t="shared" si="1"/>
        <v/>
      </c>
      <c r="K40" s="5"/>
      <c r="L40" s="5"/>
      <c r="M40" s="2"/>
      <c r="N40" s="2"/>
      <c r="O40" s="6" t="b">
        <f>TRUE()</f>
        <v>1</v>
      </c>
      <c r="P40" s="2"/>
    </row>
    <row r="41" spans="1:16" x14ac:dyDescent="0.2">
      <c r="A41" s="2" t="s">
        <v>60</v>
      </c>
      <c r="B41" s="2"/>
      <c r="C41" s="2" t="s">
        <v>17</v>
      </c>
      <c r="D41" s="2" t="s">
        <v>51</v>
      </c>
      <c r="E41" s="2" t="s">
        <v>19</v>
      </c>
      <c r="F41" s="2">
        <v>750</v>
      </c>
      <c r="G41" s="2"/>
      <c r="H41" s="2"/>
      <c r="I41" s="3"/>
      <c r="J41" s="4" t="str">
        <f t="shared" si="1"/>
        <v/>
      </c>
      <c r="K41" s="5"/>
      <c r="L41" s="5"/>
      <c r="M41" s="2"/>
      <c r="N41" s="2"/>
      <c r="O41" s="6" t="b">
        <f>TRUE()</f>
        <v>1</v>
      </c>
      <c r="P41" s="2"/>
    </row>
    <row r="42" spans="1:16" x14ac:dyDescent="0.2">
      <c r="A42" s="2" t="s">
        <v>61</v>
      </c>
      <c r="B42" s="2"/>
      <c r="C42" s="2" t="s">
        <v>17</v>
      </c>
      <c r="D42" s="2" t="s">
        <v>51</v>
      </c>
      <c r="E42" s="2" t="s">
        <v>19</v>
      </c>
      <c r="F42" s="2">
        <v>750</v>
      </c>
      <c r="G42" s="2"/>
      <c r="H42" s="2"/>
      <c r="I42" s="3"/>
      <c r="J42" s="4" t="str">
        <f t="shared" si="1"/>
        <v/>
      </c>
      <c r="K42" s="5"/>
      <c r="L42" s="5"/>
      <c r="M42" s="2"/>
      <c r="N42" s="2"/>
      <c r="O42" s="6" t="b">
        <f>TRUE()</f>
        <v>1</v>
      </c>
      <c r="P42" s="2"/>
    </row>
    <row r="43" spans="1:16" x14ac:dyDescent="0.2">
      <c r="A43" s="2" t="s">
        <v>62</v>
      </c>
      <c r="B43" s="2"/>
      <c r="C43" s="2" t="s">
        <v>17</v>
      </c>
      <c r="D43" s="2" t="s">
        <v>63</v>
      </c>
      <c r="E43" s="2" t="s">
        <v>19</v>
      </c>
      <c r="F43" s="2">
        <v>750</v>
      </c>
      <c r="G43" s="2"/>
      <c r="H43" s="2"/>
      <c r="I43" s="3"/>
      <c r="J43" s="4" t="str">
        <f t="shared" si="1"/>
        <v/>
      </c>
      <c r="K43" s="5"/>
      <c r="L43" s="5"/>
      <c r="M43" s="2"/>
      <c r="N43" s="2"/>
      <c r="O43" s="6" t="b">
        <f>TRUE()</f>
        <v>1</v>
      </c>
      <c r="P43" s="2"/>
    </row>
    <row r="44" spans="1:16" x14ac:dyDescent="0.2">
      <c r="A44" s="2" t="s">
        <v>64</v>
      </c>
      <c r="B44" s="2"/>
      <c r="C44" s="2" t="s">
        <v>17</v>
      </c>
      <c r="D44" s="2" t="s">
        <v>63</v>
      </c>
      <c r="E44" s="2" t="s">
        <v>19</v>
      </c>
      <c r="F44" s="2">
        <v>750</v>
      </c>
      <c r="G44" s="2"/>
      <c r="H44" s="2"/>
      <c r="I44" s="3"/>
      <c r="J44" s="4" t="str">
        <f t="shared" si="1"/>
        <v/>
      </c>
      <c r="K44" s="5"/>
      <c r="L44" s="5"/>
      <c r="M44" s="2"/>
      <c r="N44" s="2"/>
      <c r="O44" s="6" t="b">
        <f>TRUE()</f>
        <v>1</v>
      </c>
      <c r="P44" s="2"/>
    </row>
    <row r="45" spans="1:16" x14ac:dyDescent="0.2">
      <c r="A45" s="2" t="s">
        <v>65</v>
      </c>
      <c r="B45" s="2"/>
      <c r="C45" s="2" t="s">
        <v>17</v>
      </c>
      <c r="D45" s="2" t="s">
        <v>63</v>
      </c>
      <c r="E45" s="2" t="s">
        <v>19</v>
      </c>
      <c r="F45" s="2">
        <v>750</v>
      </c>
      <c r="G45" s="2"/>
      <c r="H45" s="2"/>
      <c r="I45" s="3"/>
      <c r="J45" s="4" t="str">
        <f t="shared" si="1"/>
        <v/>
      </c>
      <c r="K45" s="5"/>
      <c r="L45" s="5"/>
      <c r="M45" s="2"/>
      <c r="N45" s="2"/>
      <c r="O45" s="6" t="b">
        <f>TRUE()</f>
        <v>1</v>
      </c>
      <c r="P45" s="2"/>
    </row>
    <row r="46" spans="1:16" x14ac:dyDescent="0.2">
      <c r="A46" s="2" t="s">
        <v>66</v>
      </c>
      <c r="B46" s="2"/>
      <c r="C46" s="2" t="s">
        <v>17</v>
      </c>
      <c r="D46" s="2" t="s">
        <v>63</v>
      </c>
      <c r="E46" s="2" t="s">
        <v>19</v>
      </c>
      <c r="F46" s="2">
        <v>750</v>
      </c>
      <c r="G46" s="2"/>
      <c r="H46" s="2"/>
      <c r="I46" s="3"/>
      <c r="J46" s="4" t="str">
        <f t="shared" si="1"/>
        <v/>
      </c>
      <c r="K46" s="5"/>
      <c r="L46" s="5"/>
      <c r="M46" s="2"/>
      <c r="N46" s="2"/>
      <c r="O46" s="6" t="b">
        <f>TRUE()</f>
        <v>1</v>
      </c>
      <c r="P46" s="2"/>
    </row>
    <row r="47" spans="1:16" x14ac:dyDescent="0.2">
      <c r="A47" s="2" t="s">
        <v>67</v>
      </c>
      <c r="B47" s="2"/>
      <c r="C47" s="2" t="s">
        <v>17</v>
      </c>
      <c r="D47" s="2" t="s">
        <v>68</v>
      </c>
      <c r="E47" s="2" t="s">
        <v>19</v>
      </c>
      <c r="F47" s="2">
        <v>750</v>
      </c>
      <c r="G47" s="2"/>
      <c r="H47" s="2"/>
      <c r="I47" s="3"/>
      <c r="J47" s="4" t="str">
        <f t="shared" si="1"/>
        <v/>
      </c>
      <c r="K47" s="5"/>
      <c r="L47" s="5"/>
      <c r="M47" s="2"/>
      <c r="N47" s="2"/>
      <c r="O47" s="6" t="b">
        <f>TRUE()</f>
        <v>1</v>
      </c>
      <c r="P47" s="2"/>
    </row>
    <row r="48" spans="1:16" x14ac:dyDescent="0.2">
      <c r="A48" s="2" t="s">
        <v>69</v>
      </c>
      <c r="B48" s="2"/>
      <c r="C48" s="2" t="s">
        <v>17</v>
      </c>
      <c r="D48" s="2" t="s">
        <v>68</v>
      </c>
      <c r="E48" s="2" t="s">
        <v>19</v>
      </c>
      <c r="F48" s="2">
        <v>750</v>
      </c>
      <c r="G48" s="2"/>
      <c r="H48" s="2"/>
      <c r="I48" s="3"/>
      <c r="J48" s="4" t="str">
        <f t="shared" si="1"/>
        <v/>
      </c>
      <c r="K48" s="5"/>
      <c r="L48" s="5"/>
      <c r="M48" s="2"/>
      <c r="N48" s="2"/>
      <c r="O48" s="6" t="b">
        <f>TRUE()</f>
        <v>1</v>
      </c>
      <c r="P48" s="2"/>
    </row>
    <row r="49" spans="1:16" x14ac:dyDescent="0.2">
      <c r="A49" s="2" t="s">
        <v>70</v>
      </c>
      <c r="B49" s="2"/>
      <c r="C49" s="2" t="s">
        <v>17</v>
      </c>
      <c r="D49" s="2" t="s">
        <v>68</v>
      </c>
      <c r="E49" s="2" t="s">
        <v>19</v>
      </c>
      <c r="F49" s="2">
        <v>750</v>
      </c>
      <c r="G49" s="2"/>
      <c r="H49" s="2"/>
      <c r="I49" s="3"/>
      <c r="J49" s="4" t="str">
        <f t="shared" si="1"/>
        <v/>
      </c>
      <c r="K49" s="5"/>
      <c r="L49" s="5"/>
      <c r="M49" s="2"/>
      <c r="N49" s="2"/>
      <c r="O49" s="6" t="b">
        <f>TRUE()</f>
        <v>1</v>
      </c>
      <c r="P49" s="2"/>
    </row>
    <row r="50" spans="1:16" x14ac:dyDescent="0.2">
      <c r="A50" s="2" t="s">
        <v>71</v>
      </c>
      <c r="B50" s="2"/>
      <c r="C50" s="2" t="s">
        <v>17</v>
      </c>
      <c r="D50" s="2" t="s">
        <v>68</v>
      </c>
      <c r="E50" s="2" t="s">
        <v>19</v>
      </c>
      <c r="F50" s="2">
        <v>750</v>
      </c>
      <c r="G50" s="2"/>
      <c r="H50" s="2"/>
      <c r="I50" s="3"/>
      <c r="J50" s="4" t="str">
        <f t="shared" si="1"/>
        <v/>
      </c>
      <c r="K50" s="5"/>
      <c r="L50" s="5"/>
      <c r="M50" s="2"/>
      <c r="N50" s="2"/>
      <c r="O50" s="6" t="b">
        <f>TRUE()</f>
        <v>1</v>
      </c>
      <c r="P50" s="2"/>
    </row>
    <row r="51" spans="1:16" x14ac:dyDescent="0.2">
      <c r="A51" s="2" t="s">
        <v>72</v>
      </c>
      <c r="B51" s="2"/>
      <c r="C51" s="2" t="s">
        <v>17</v>
      </c>
      <c r="D51" s="2" t="s">
        <v>68</v>
      </c>
      <c r="E51" s="2" t="s">
        <v>19</v>
      </c>
      <c r="F51" s="2">
        <v>750</v>
      </c>
      <c r="G51" s="2"/>
      <c r="H51" s="2"/>
      <c r="I51" s="3"/>
      <c r="J51" s="4" t="str">
        <f t="shared" si="1"/>
        <v/>
      </c>
      <c r="K51" s="5"/>
      <c r="L51" s="5"/>
      <c r="M51" s="2"/>
      <c r="N51" s="2"/>
      <c r="O51" s="6" t="b">
        <f>TRUE()</f>
        <v>1</v>
      </c>
      <c r="P51" s="2"/>
    </row>
    <row r="52" spans="1:16" x14ac:dyDescent="0.2">
      <c r="A52" s="2" t="s">
        <v>73</v>
      </c>
      <c r="B52" s="2"/>
      <c r="C52" s="2" t="s">
        <v>17</v>
      </c>
      <c r="D52" s="2" t="s">
        <v>68</v>
      </c>
      <c r="E52" s="2" t="s">
        <v>19</v>
      </c>
      <c r="F52" s="2">
        <v>750</v>
      </c>
      <c r="G52" s="2"/>
      <c r="H52" s="2"/>
      <c r="I52" s="3"/>
      <c r="J52" s="4" t="str">
        <f t="shared" si="1"/>
        <v/>
      </c>
      <c r="K52" s="5"/>
      <c r="L52" s="5"/>
      <c r="M52" s="2"/>
      <c r="N52" s="2"/>
      <c r="O52" s="6" t="b">
        <f>TRUE()</f>
        <v>1</v>
      </c>
      <c r="P52" s="2"/>
    </row>
    <row r="53" spans="1:16" x14ac:dyDescent="0.2">
      <c r="A53" s="2" t="s">
        <v>74</v>
      </c>
      <c r="B53" s="2"/>
      <c r="C53" s="2" t="s">
        <v>17</v>
      </c>
      <c r="D53" s="2" t="s">
        <v>68</v>
      </c>
      <c r="E53" s="2" t="s">
        <v>19</v>
      </c>
      <c r="F53" s="2">
        <v>750</v>
      </c>
      <c r="G53" s="2"/>
      <c r="H53" s="2"/>
      <c r="I53" s="3"/>
      <c r="J53" s="4" t="str">
        <f t="shared" si="1"/>
        <v/>
      </c>
      <c r="K53" s="5"/>
      <c r="L53" s="5"/>
      <c r="M53" s="2"/>
      <c r="N53" s="2"/>
      <c r="O53" s="6" t="b">
        <f>TRUE()</f>
        <v>1</v>
      </c>
      <c r="P53" s="2"/>
    </row>
    <row r="54" spans="1:16" x14ac:dyDescent="0.2">
      <c r="A54" s="2" t="s">
        <v>75</v>
      </c>
      <c r="B54" s="2"/>
      <c r="C54" s="2" t="s">
        <v>17</v>
      </c>
      <c r="D54" s="2" t="s">
        <v>68</v>
      </c>
      <c r="E54" s="2" t="s">
        <v>19</v>
      </c>
      <c r="F54" s="2">
        <v>750</v>
      </c>
      <c r="G54" s="2"/>
      <c r="H54" s="2"/>
      <c r="I54" s="3"/>
      <c r="J54" s="4" t="str">
        <f t="shared" si="1"/>
        <v/>
      </c>
      <c r="K54" s="5"/>
      <c r="L54" s="5"/>
      <c r="M54" s="2"/>
      <c r="N54" s="2"/>
      <c r="O54" s="6" t="b">
        <f>TRUE()</f>
        <v>1</v>
      </c>
      <c r="P54" s="2"/>
    </row>
    <row r="55" spans="1:16" x14ac:dyDescent="0.2">
      <c r="A55" s="2" t="s">
        <v>76</v>
      </c>
      <c r="B55" s="2"/>
      <c r="C55" s="2" t="s">
        <v>17</v>
      </c>
      <c r="D55" s="2" t="s">
        <v>68</v>
      </c>
      <c r="E55" s="2" t="s">
        <v>19</v>
      </c>
      <c r="F55" s="2">
        <v>750</v>
      </c>
      <c r="G55" s="2"/>
      <c r="H55" s="2"/>
      <c r="I55" s="3"/>
      <c r="J55" s="4" t="str">
        <f t="shared" si="1"/>
        <v/>
      </c>
      <c r="K55" s="5"/>
      <c r="L55" s="5"/>
      <c r="M55" s="2"/>
      <c r="N55" s="2"/>
      <c r="O55" s="6" t="b">
        <f>TRUE()</f>
        <v>1</v>
      </c>
      <c r="P55" s="2"/>
    </row>
    <row r="56" spans="1:16" x14ac:dyDescent="0.2">
      <c r="A56" s="2" t="s">
        <v>77</v>
      </c>
      <c r="B56" s="2"/>
      <c r="C56" s="2" t="s">
        <v>17</v>
      </c>
      <c r="D56" s="2" t="s">
        <v>68</v>
      </c>
      <c r="E56" s="2" t="s">
        <v>19</v>
      </c>
      <c r="F56" s="2">
        <v>750</v>
      </c>
      <c r="G56" s="2"/>
      <c r="H56" s="2"/>
      <c r="I56" s="3"/>
      <c r="J56" s="4" t="str">
        <f t="shared" si="1"/>
        <v/>
      </c>
      <c r="K56" s="5"/>
      <c r="L56" s="5"/>
      <c r="M56" s="2"/>
      <c r="N56" s="2"/>
      <c r="O56" s="6" t="b">
        <f>TRUE()</f>
        <v>1</v>
      </c>
      <c r="P56" s="2"/>
    </row>
    <row r="57" spans="1:16" x14ac:dyDescent="0.2">
      <c r="A57" s="2" t="s">
        <v>78</v>
      </c>
      <c r="B57" s="2"/>
      <c r="C57" s="2" t="s">
        <v>17</v>
      </c>
      <c r="D57" s="2" t="s">
        <v>68</v>
      </c>
      <c r="E57" s="2" t="s">
        <v>19</v>
      </c>
      <c r="F57" s="2">
        <v>750</v>
      </c>
      <c r="G57" s="2"/>
      <c r="H57" s="2"/>
      <c r="I57" s="3"/>
      <c r="J57" s="4" t="str">
        <f t="shared" si="1"/>
        <v/>
      </c>
      <c r="K57" s="5"/>
      <c r="L57" s="5"/>
      <c r="M57" s="2"/>
      <c r="N57" s="2"/>
      <c r="O57" s="6" t="b">
        <f>TRUE()</f>
        <v>1</v>
      </c>
      <c r="P57" s="2"/>
    </row>
    <row r="58" spans="1:16" x14ac:dyDescent="0.2">
      <c r="A58" s="2" t="s">
        <v>79</v>
      </c>
      <c r="B58" s="2"/>
      <c r="C58" s="2" t="s">
        <v>17</v>
      </c>
      <c r="D58" s="2" t="s">
        <v>80</v>
      </c>
      <c r="E58" s="2" t="s">
        <v>19</v>
      </c>
      <c r="F58" s="2">
        <v>750</v>
      </c>
      <c r="G58" s="2"/>
      <c r="H58" s="2"/>
      <c r="I58" s="3"/>
      <c r="J58" s="4" t="str">
        <f t="shared" si="1"/>
        <v/>
      </c>
      <c r="K58" s="5"/>
      <c r="L58" s="5"/>
      <c r="M58" s="2"/>
      <c r="N58" s="2"/>
      <c r="O58" s="6" t="b">
        <f>TRUE()</f>
        <v>1</v>
      </c>
      <c r="P58" s="2"/>
    </row>
    <row r="59" spans="1:16" x14ac:dyDescent="0.2">
      <c r="A59" s="2" t="s">
        <v>81</v>
      </c>
      <c r="B59" s="2"/>
      <c r="C59" s="2" t="s">
        <v>17</v>
      </c>
      <c r="D59" s="2" t="s">
        <v>80</v>
      </c>
      <c r="E59" s="2" t="s">
        <v>19</v>
      </c>
      <c r="F59" s="2">
        <v>750</v>
      </c>
      <c r="G59" s="2"/>
      <c r="H59" s="2"/>
      <c r="I59" s="3"/>
      <c r="J59" s="4" t="str">
        <f t="shared" si="1"/>
        <v/>
      </c>
      <c r="K59" s="5"/>
      <c r="L59" s="5"/>
      <c r="M59" s="2"/>
      <c r="N59" s="2"/>
      <c r="O59" s="6" t="b">
        <f>TRUE()</f>
        <v>1</v>
      </c>
      <c r="P59" s="2"/>
    </row>
    <row r="60" spans="1:16" x14ac:dyDescent="0.2">
      <c r="A60" s="2" t="s">
        <v>82</v>
      </c>
      <c r="B60" s="2"/>
      <c r="C60" s="2" t="s">
        <v>17</v>
      </c>
      <c r="D60" s="2" t="s">
        <v>80</v>
      </c>
      <c r="E60" s="2" t="s">
        <v>19</v>
      </c>
      <c r="F60" s="2">
        <v>750</v>
      </c>
      <c r="G60" s="2"/>
      <c r="H60" s="2"/>
      <c r="I60" s="3"/>
      <c r="J60" s="4" t="str">
        <f t="shared" si="1"/>
        <v/>
      </c>
      <c r="K60" s="5"/>
      <c r="L60" s="5"/>
      <c r="M60" s="2"/>
      <c r="N60" s="2"/>
      <c r="O60" s="6" t="b">
        <f>TRUE()</f>
        <v>1</v>
      </c>
      <c r="P60" s="2"/>
    </row>
    <row r="61" spans="1:16" x14ac:dyDescent="0.2">
      <c r="A61" s="2" t="s">
        <v>83</v>
      </c>
      <c r="B61" s="2"/>
      <c r="C61" s="2" t="s">
        <v>17</v>
      </c>
      <c r="D61" s="2" t="s">
        <v>80</v>
      </c>
      <c r="E61" s="2" t="s">
        <v>19</v>
      </c>
      <c r="F61" s="2">
        <v>750</v>
      </c>
      <c r="G61" s="2"/>
      <c r="H61" s="2"/>
      <c r="I61" s="3"/>
      <c r="J61" s="4" t="str">
        <f t="shared" si="1"/>
        <v/>
      </c>
      <c r="K61" s="5"/>
      <c r="L61" s="5"/>
      <c r="M61" s="2"/>
      <c r="N61" s="2"/>
      <c r="O61" s="6" t="b">
        <f>TRUE()</f>
        <v>1</v>
      </c>
      <c r="P61" s="2"/>
    </row>
    <row r="62" spans="1:16" x14ac:dyDescent="0.2">
      <c r="A62" s="2" t="s">
        <v>84</v>
      </c>
      <c r="B62" s="2"/>
      <c r="C62" s="2" t="s">
        <v>17</v>
      </c>
      <c r="D62" s="2" t="s">
        <v>80</v>
      </c>
      <c r="E62" s="2" t="s">
        <v>19</v>
      </c>
      <c r="F62" s="2">
        <v>750</v>
      </c>
      <c r="G62" s="2"/>
      <c r="H62" s="2"/>
      <c r="I62" s="3"/>
      <c r="J62" s="4" t="str">
        <f t="shared" si="1"/>
        <v/>
      </c>
      <c r="K62" s="5"/>
      <c r="L62" s="5"/>
      <c r="M62" s="2"/>
      <c r="N62" s="2"/>
      <c r="O62" s="6" t="b">
        <f>TRUE()</f>
        <v>1</v>
      </c>
      <c r="P62" s="2"/>
    </row>
    <row r="63" spans="1:16" x14ac:dyDescent="0.2">
      <c r="A63" s="2" t="s">
        <v>85</v>
      </c>
      <c r="B63" s="2"/>
      <c r="C63" s="2" t="s">
        <v>17</v>
      </c>
      <c r="D63" s="2" t="s">
        <v>80</v>
      </c>
      <c r="E63" s="2" t="s">
        <v>19</v>
      </c>
      <c r="F63" s="2">
        <v>750</v>
      </c>
      <c r="G63" s="2"/>
      <c r="H63" s="2"/>
      <c r="I63" s="3"/>
      <c r="J63" s="4" t="str">
        <f t="shared" si="1"/>
        <v/>
      </c>
      <c r="K63" s="5"/>
      <c r="L63" s="5"/>
      <c r="M63" s="2"/>
      <c r="N63" s="2"/>
      <c r="O63" s="6" t="b">
        <f>TRUE()</f>
        <v>1</v>
      </c>
      <c r="P63" s="2"/>
    </row>
    <row r="64" spans="1:16" x14ac:dyDescent="0.2">
      <c r="A64" s="2" t="s">
        <v>86</v>
      </c>
      <c r="B64" s="2"/>
      <c r="C64" s="2" t="s">
        <v>87</v>
      </c>
      <c r="D64" s="2" t="s">
        <v>87</v>
      </c>
      <c r="E64" s="2" t="s">
        <v>19</v>
      </c>
      <c r="F64" s="2">
        <v>750</v>
      </c>
      <c r="G64" s="2"/>
      <c r="H64" s="2"/>
      <c r="I64" s="3"/>
      <c r="J64" s="4" t="str">
        <f t="shared" si="1"/>
        <v/>
      </c>
      <c r="K64" s="5"/>
      <c r="L64" s="5"/>
      <c r="M64" s="2"/>
      <c r="N64" s="2"/>
      <c r="O64" s="6" t="b">
        <f>TRUE()</f>
        <v>1</v>
      </c>
      <c r="P64" s="2"/>
    </row>
    <row r="65" spans="1:16" x14ac:dyDescent="0.2">
      <c r="A65" s="2" t="s">
        <v>88</v>
      </c>
      <c r="B65" s="2"/>
      <c r="C65" s="2" t="s">
        <v>87</v>
      </c>
      <c r="D65" s="2" t="s">
        <v>87</v>
      </c>
      <c r="E65" s="2" t="s">
        <v>19</v>
      </c>
      <c r="F65" s="2">
        <v>750</v>
      </c>
      <c r="G65" s="2"/>
      <c r="H65" s="2"/>
      <c r="I65" s="3"/>
      <c r="J65" s="4" t="str">
        <f t="shared" si="1"/>
        <v/>
      </c>
      <c r="K65" s="5"/>
      <c r="L65" s="5"/>
      <c r="M65" s="2"/>
      <c r="N65" s="2"/>
      <c r="O65" s="6" t="b">
        <f>TRUE()</f>
        <v>1</v>
      </c>
      <c r="P65" s="2"/>
    </row>
    <row r="66" spans="1:16" x14ac:dyDescent="0.2">
      <c r="A66" s="2" t="s">
        <v>89</v>
      </c>
      <c r="B66" s="2"/>
      <c r="C66" s="2" t="s">
        <v>90</v>
      </c>
      <c r="D66" s="2" t="s">
        <v>91</v>
      </c>
      <c r="E66" s="2" t="s">
        <v>19</v>
      </c>
      <c r="F66" s="2">
        <v>355</v>
      </c>
      <c r="G66" s="2"/>
      <c r="H66" s="2"/>
      <c r="I66" s="3"/>
      <c r="J66" s="4" t="str">
        <f t="shared" ref="J66:J99" si="2">IFERROR(I66/G66,"")</f>
        <v/>
      </c>
      <c r="K66" s="5"/>
      <c r="L66" s="5"/>
      <c r="M66" s="2"/>
      <c r="N66" s="2"/>
      <c r="O66" s="6" t="b">
        <f>TRUE()</f>
        <v>1</v>
      </c>
      <c r="P66" s="2"/>
    </row>
    <row r="67" spans="1:16" x14ac:dyDescent="0.2">
      <c r="A67" s="2" t="s">
        <v>92</v>
      </c>
      <c r="B67" s="2"/>
      <c r="C67" s="2" t="s">
        <v>90</v>
      </c>
      <c r="D67" s="2" t="s">
        <v>91</v>
      </c>
      <c r="E67" s="2" t="s">
        <v>19</v>
      </c>
      <c r="F67" s="2">
        <v>355</v>
      </c>
      <c r="G67" s="2"/>
      <c r="H67" s="2"/>
      <c r="I67" s="3"/>
      <c r="J67" s="4" t="str">
        <f t="shared" si="2"/>
        <v/>
      </c>
      <c r="K67" s="5"/>
      <c r="L67" s="5"/>
      <c r="M67" s="2"/>
      <c r="N67" s="2"/>
      <c r="O67" s="6" t="b">
        <f>TRUE()</f>
        <v>1</v>
      </c>
      <c r="P67" s="2"/>
    </row>
    <row r="68" spans="1:16" x14ac:dyDescent="0.2">
      <c r="A68" s="2" t="s">
        <v>93</v>
      </c>
      <c r="B68" s="2"/>
      <c r="C68" s="2" t="s">
        <v>90</v>
      </c>
      <c r="D68" s="2" t="s">
        <v>91</v>
      </c>
      <c r="E68" s="2" t="s">
        <v>19</v>
      </c>
      <c r="F68" s="2">
        <v>355</v>
      </c>
      <c r="G68" s="2"/>
      <c r="H68" s="2"/>
      <c r="I68" s="3"/>
      <c r="J68" s="4" t="str">
        <f t="shared" si="2"/>
        <v/>
      </c>
      <c r="K68" s="5"/>
      <c r="L68" s="5"/>
      <c r="M68" s="2"/>
      <c r="N68" s="2"/>
      <c r="O68" s="6" t="b">
        <f>TRUE()</f>
        <v>1</v>
      </c>
      <c r="P68" s="2"/>
    </row>
    <row r="69" spans="1:16" x14ac:dyDescent="0.2">
      <c r="A69" s="2" t="s">
        <v>94</v>
      </c>
      <c r="B69" s="2"/>
      <c r="C69" s="2" t="s">
        <v>90</v>
      </c>
      <c r="D69" s="2" t="s">
        <v>91</v>
      </c>
      <c r="E69" s="2" t="s">
        <v>19</v>
      </c>
      <c r="F69" s="2">
        <v>355</v>
      </c>
      <c r="G69" s="2"/>
      <c r="H69" s="2"/>
      <c r="I69" s="3"/>
      <c r="J69" s="4" t="str">
        <f t="shared" si="2"/>
        <v/>
      </c>
      <c r="K69" s="5"/>
      <c r="L69" s="5"/>
      <c r="M69" s="2"/>
      <c r="N69" s="2"/>
      <c r="O69" s="6" t="b">
        <f>TRUE()</f>
        <v>1</v>
      </c>
      <c r="P69" s="2"/>
    </row>
    <row r="70" spans="1:16" x14ac:dyDescent="0.2">
      <c r="A70" s="2" t="s">
        <v>95</v>
      </c>
      <c r="B70" s="2"/>
      <c r="C70" s="2" t="s">
        <v>90</v>
      </c>
      <c r="D70" s="2" t="s">
        <v>91</v>
      </c>
      <c r="E70" s="2" t="s">
        <v>19</v>
      </c>
      <c r="F70" s="2">
        <v>355</v>
      </c>
      <c r="G70" s="2"/>
      <c r="H70" s="2"/>
      <c r="I70" s="3"/>
      <c r="J70" s="4" t="str">
        <f t="shared" si="2"/>
        <v/>
      </c>
      <c r="K70" s="5"/>
      <c r="L70" s="5"/>
      <c r="M70" s="2"/>
      <c r="N70" s="2"/>
      <c r="O70" s="6" t="b">
        <f>TRUE()</f>
        <v>1</v>
      </c>
      <c r="P70" s="2"/>
    </row>
    <row r="71" spans="1:16" x14ac:dyDescent="0.2">
      <c r="A71" s="2" t="s">
        <v>96</v>
      </c>
      <c r="B71" s="2"/>
      <c r="C71" s="2" t="s">
        <v>90</v>
      </c>
      <c r="D71" s="2" t="s">
        <v>91</v>
      </c>
      <c r="E71" s="2" t="s">
        <v>19</v>
      </c>
      <c r="F71" s="2">
        <v>355</v>
      </c>
      <c r="G71" s="2"/>
      <c r="H71" s="2"/>
      <c r="I71" s="3"/>
      <c r="J71" s="4" t="str">
        <f t="shared" si="2"/>
        <v/>
      </c>
      <c r="K71" s="5"/>
      <c r="L71" s="5"/>
      <c r="M71" s="2"/>
      <c r="N71" s="2"/>
      <c r="O71" s="6" t="b">
        <f>TRUE()</f>
        <v>1</v>
      </c>
      <c r="P71" s="2"/>
    </row>
    <row r="72" spans="1:16" x14ac:dyDescent="0.2">
      <c r="A72" s="2" t="s">
        <v>97</v>
      </c>
      <c r="B72" s="2"/>
      <c r="C72" s="2" t="s">
        <v>90</v>
      </c>
      <c r="D72" s="2" t="s">
        <v>91</v>
      </c>
      <c r="E72" s="2" t="s">
        <v>19</v>
      </c>
      <c r="F72" s="2">
        <v>355</v>
      </c>
      <c r="G72" s="2"/>
      <c r="H72" s="2"/>
      <c r="I72" s="3"/>
      <c r="J72" s="4" t="str">
        <f t="shared" si="2"/>
        <v/>
      </c>
      <c r="K72" s="5"/>
      <c r="L72" s="5"/>
      <c r="M72" s="2"/>
      <c r="N72" s="2"/>
      <c r="O72" s="6" t="b">
        <f>TRUE()</f>
        <v>1</v>
      </c>
      <c r="P72" s="2"/>
    </row>
    <row r="73" spans="1:16" x14ac:dyDescent="0.2">
      <c r="A73" s="2" t="s">
        <v>98</v>
      </c>
      <c r="B73" s="2"/>
      <c r="C73" s="2" t="s">
        <v>90</v>
      </c>
      <c r="D73" s="2" t="s">
        <v>91</v>
      </c>
      <c r="E73" s="2" t="s">
        <v>19</v>
      </c>
      <c r="F73" s="2">
        <v>355</v>
      </c>
      <c r="G73" s="2"/>
      <c r="H73" s="2"/>
      <c r="I73" s="3"/>
      <c r="J73" s="4" t="str">
        <f t="shared" si="2"/>
        <v/>
      </c>
      <c r="K73" s="5"/>
      <c r="L73" s="5"/>
      <c r="M73" s="2"/>
      <c r="N73" s="2"/>
      <c r="O73" s="6" t="b">
        <f>TRUE()</f>
        <v>1</v>
      </c>
      <c r="P73" s="2"/>
    </row>
    <row r="74" spans="1:16" x14ac:dyDescent="0.2">
      <c r="A74" s="2" t="s">
        <v>99</v>
      </c>
      <c r="B74" s="2"/>
      <c r="C74" s="2" t="s">
        <v>90</v>
      </c>
      <c r="D74" s="2" t="s">
        <v>91</v>
      </c>
      <c r="E74" s="2" t="s">
        <v>19</v>
      </c>
      <c r="F74" s="2">
        <v>355</v>
      </c>
      <c r="G74" s="2"/>
      <c r="H74" s="2"/>
      <c r="I74" s="3"/>
      <c r="J74" s="4" t="str">
        <f t="shared" si="2"/>
        <v/>
      </c>
      <c r="K74" s="5"/>
      <c r="L74" s="5"/>
      <c r="M74" s="2"/>
      <c r="N74" s="2"/>
      <c r="O74" s="6" t="b">
        <f>TRUE()</f>
        <v>1</v>
      </c>
      <c r="P74" s="2"/>
    </row>
    <row r="75" spans="1:16" x14ac:dyDescent="0.2">
      <c r="A75" s="2" t="s">
        <v>100</v>
      </c>
      <c r="B75" s="2"/>
      <c r="C75" s="2" t="s">
        <v>90</v>
      </c>
      <c r="D75" s="2" t="s">
        <v>91</v>
      </c>
      <c r="E75" s="2" t="s">
        <v>19</v>
      </c>
      <c r="F75" s="2">
        <v>355</v>
      </c>
      <c r="G75" s="2"/>
      <c r="H75" s="2"/>
      <c r="I75" s="3"/>
      <c r="J75" s="4" t="str">
        <f t="shared" si="2"/>
        <v/>
      </c>
      <c r="K75" s="5"/>
      <c r="L75" s="5"/>
      <c r="M75" s="2"/>
      <c r="N75" s="2"/>
      <c r="O75" s="6" t="b">
        <f>TRUE()</f>
        <v>1</v>
      </c>
      <c r="P75" s="2"/>
    </row>
    <row r="76" spans="1:16" x14ac:dyDescent="0.2">
      <c r="A76" s="2" t="s">
        <v>101</v>
      </c>
      <c r="B76" s="2"/>
      <c r="C76" s="2" t="s">
        <v>90</v>
      </c>
      <c r="D76" s="2" t="s">
        <v>91</v>
      </c>
      <c r="E76" s="2" t="s">
        <v>19</v>
      </c>
      <c r="F76" s="2">
        <v>355</v>
      </c>
      <c r="G76" s="2"/>
      <c r="H76" s="2"/>
      <c r="I76" s="3"/>
      <c r="J76" s="4" t="str">
        <f t="shared" si="2"/>
        <v/>
      </c>
      <c r="K76" s="5"/>
      <c r="L76" s="5"/>
      <c r="M76" s="2"/>
      <c r="N76" s="2"/>
      <c r="O76" s="6" t="b">
        <f>TRUE()</f>
        <v>1</v>
      </c>
      <c r="P76" s="2"/>
    </row>
    <row r="77" spans="1:16" x14ac:dyDescent="0.2">
      <c r="A77" s="2" t="s">
        <v>102</v>
      </c>
      <c r="B77" s="2"/>
      <c r="C77" s="2" t="s">
        <v>90</v>
      </c>
      <c r="D77" s="2" t="s">
        <v>91</v>
      </c>
      <c r="E77" s="2" t="s">
        <v>19</v>
      </c>
      <c r="F77" s="2">
        <v>355</v>
      </c>
      <c r="G77" s="2"/>
      <c r="H77" s="2"/>
      <c r="I77" s="3"/>
      <c r="J77" s="4" t="str">
        <f t="shared" si="2"/>
        <v/>
      </c>
      <c r="K77" s="5"/>
      <c r="L77" s="5"/>
      <c r="M77" s="2"/>
      <c r="N77" s="2"/>
      <c r="O77" s="6" t="b">
        <f>TRUE()</f>
        <v>1</v>
      </c>
      <c r="P77" s="2"/>
    </row>
    <row r="78" spans="1:16" x14ac:dyDescent="0.2">
      <c r="A78" s="2" t="s">
        <v>103</v>
      </c>
      <c r="B78" s="2"/>
      <c r="C78" s="2" t="s">
        <v>90</v>
      </c>
      <c r="D78" s="2" t="s">
        <v>91</v>
      </c>
      <c r="E78" s="2" t="s">
        <v>19</v>
      </c>
      <c r="F78" s="2">
        <v>355</v>
      </c>
      <c r="G78" s="2"/>
      <c r="H78" s="2"/>
      <c r="I78" s="3"/>
      <c r="J78" s="4" t="str">
        <f t="shared" si="2"/>
        <v/>
      </c>
      <c r="K78" s="5"/>
      <c r="L78" s="5"/>
      <c r="M78" s="2"/>
      <c r="N78" s="2"/>
      <c r="O78" s="6" t="b">
        <f>TRUE()</f>
        <v>1</v>
      </c>
      <c r="P78" s="2"/>
    </row>
    <row r="79" spans="1:16" x14ac:dyDescent="0.2">
      <c r="A79" s="2" t="s">
        <v>104</v>
      </c>
      <c r="B79" s="2"/>
      <c r="C79" s="2" t="s">
        <v>90</v>
      </c>
      <c r="D79" s="2" t="s">
        <v>91</v>
      </c>
      <c r="E79" s="2" t="s">
        <v>19</v>
      </c>
      <c r="F79" s="2">
        <v>355</v>
      </c>
      <c r="G79" s="2"/>
      <c r="H79" s="2"/>
      <c r="I79" s="3"/>
      <c r="J79" s="4" t="str">
        <f t="shared" si="2"/>
        <v/>
      </c>
      <c r="K79" s="5"/>
      <c r="L79" s="5"/>
      <c r="M79" s="2"/>
      <c r="N79" s="2"/>
      <c r="O79" s="6" t="b">
        <f>TRUE()</f>
        <v>1</v>
      </c>
      <c r="P79" s="2"/>
    </row>
    <row r="80" spans="1:16" x14ac:dyDescent="0.2">
      <c r="A80" s="2" t="s">
        <v>105</v>
      </c>
      <c r="B80" s="2"/>
      <c r="C80" s="2" t="s">
        <v>90</v>
      </c>
      <c r="D80" s="2" t="s">
        <v>91</v>
      </c>
      <c r="E80" s="2" t="s">
        <v>19</v>
      </c>
      <c r="F80" s="2">
        <v>355</v>
      </c>
      <c r="G80" s="2"/>
      <c r="H80" s="2"/>
      <c r="I80" s="3"/>
      <c r="J80" s="4" t="str">
        <f t="shared" si="2"/>
        <v/>
      </c>
      <c r="K80" s="5"/>
      <c r="L80" s="5"/>
      <c r="M80" s="2"/>
      <c r="N80" s="2"/>
      <c r="O80" s="6" t="b">
        <f>TRUE()</f>
        <v>1</v>
      </c>
      <c r="P80" s="2"/>
    </row>
    <row r="81" spans="1:16" x14ac:dyDescent="0.2">
      <c r="A81" s="2" t="s">
        <v>106</v>
      </c>
      <c r="B81" s="2"/>
      <c r="C81" s="2" t="s">
        <v>107</v>
      </c>
      <c r="D81" s="2" t="s">
        <v>108</v>
      </c>
      <c r="E81" s="2" t="s">
        <v>19</v>
      </c>
      <c r="F81" s="2">
        <v>355</v>
      </c>
      <c r="G81" s="2"/>
      <c r="H81" s="2"/>
      <c r="I81" s="3"/>
      <c r="J81" s="4" t="str">
        <f t="shared" si="2"/>
        <v/>
      </c>
      <c r="K81" s="5"/>
      <c r="L81" s="5"/>
      <c r="M81" s="2"/>
      <c r="N81" s="2"/>
      <c r="O81" s="6" t="b">
        <f>TRUE()</f>
        <v>1</v>
      </c>
      <c r="P81" s="2"/>
    </row>
    <row r="82" spans="1:16" x14ac:dyDescent="0.2">
      <c r="A82" s="6" t="s">
        <v>236</v>
      </c>
      <c r="B82" s="6"/>
      <c r="C82" s="6" t="s">
        <v>107</v>
      </c>
      <c r="D82" s="6" t="s">
        <v>108</v>
      </c>
      <c r="E82" s="6" t="s">
        <v>19</v>
      </c>
      <c r="F82" s="6">
        <v>355</v>
      </c>
      <c r="G82" s="6"/>
      <c r="H82" s="6"/>
      <c r="I82" s="3"/>
      <c r="J82" s="4"/>
      <c r="K82" s="5"/>
      <c r="L82" s="5"/>
      <c r="M82" s="6"/>
      <c r="N82" s="6"/>
      <c r="O82" s="6" t="b">
        <v>1</v>
      </c>
      <c r="P82" s="6"/>
    </row>
    <row r="83" spans="1:16" x14ac:dyDescent="0.2">
      <c r="A83" s="6" t="s">
        <v>237</v>
      </c>
      <c r="B83" s="6"/>
      <c r="C83" s="6" t="s">
        <v>107</v>
      </c>
      <c r="D83" s="6" t="s">
        <v>108</v>
      </c>
      <c r="E83" s="6" t="s">
        <v>19</v>
      </c>
      <c r="F83" s="6">
        <v>355</v>
      </c>
      <c r="G83" s="6"/>
      <c r="H83" s="6"/>
      <c r="I83" s="3"/>
      <c r="J83" s="4"/>
      <c r="K83" s="5"/>
      <c r="L83" s="5"/>
      <c r="M83" s="6"/>
      <c r="N83" s="6"/>
      <c r="O83" s="6" t="b">
        <v>1</v>
      </c>
      <c r="P83" s="6"/>
    </row>
    <row r="84" spans="1:16" x14ac:dyDescent="0.2">
      <c r="A84" s="2" t="s">
        <v>109</v>
      </c>
      <c r="B84" s="2"/>
      <c r="C84" s="2" t="s">
        <v>90</v>
      </c>
      <c r="D84" s="2" t="s">
        <v>110</v>
      </c>
      <c r="E84" s="2" t="s">
        <v>19</v>
      </c>
      <c r="F84" s="2">
        <v>355</v>
      </c>
      <c r="G84" s="2"/>
      <c r="H84" s="2"/>
      <c r="I84" s="3"/>
      <c r="J84" s="4" t="str">
        <f t="shared" si="2"/>
        <v/>
      </c>
      <c r="K84" s="5"/>
      <c r="L84" s="5"/>
      <c r="M84" s="2"/>
      <c r="N84" s="2"/>
      <c r="O84" s="6" t="b">
        <f>TRUE()</f>
        <v>1</v>
      </c>
      <c r="P84" s="2"/>
    </row>
    <row r="85" spans="1:16" x14ac:dyDescent="0.2">
      <c r="A85" s="2" t="s">
        <v>111</v>
      </c>
      <c r="B85" s="2"/>
      <c r="C85" s="2" t="s">
        <v>112</v>
      </c>
      <c r="D85" s="2" t="s">
        <v>113</v>
      </c>
      <c r="E85" s="2" t="s">
        <v>19</v>
      </c>
      <c r="F85" s="2">
        <v>750</v>
      </c>
      <c r="G85" s="2"/>
      <c r="H85" s="2"/>
      <c r="I85" s="3"/>
      <c r="J85" s="4" t="str">
        <f t="shared" si="2"/>
        <v/>
      </c>
      <c r="K85" s="5"/>
      <c r="L85" s="5"/>
      <c r="M85" s="2"/>
      <c r="N85" s="2"/>
      <c r="O85" s="6" t="b">
        <f>TRUE()</f>
        <v>1</v>
      </c>
      <c r="P85" s="2" t="s">
        <v>114</v>
      </c>
    </row>
    <row r="86" spans="1:16" x14ac:dyDescent="0.2">
      <c r="A86" s="2" t="s">
        <v>115</v>
      </c>
      <c r="B86" s="2"/>
      <c r="C86" s="2" t="s">
        <v>112</v>
      </c>
      <c r="D86" s="2" t="s">
        <v>113</v>
      </c>
      <c r="E86" s="2" t="s">
        <v>19</v>
      </c>
      <c r="F86" s="2">
        <v>750</v>
      </c>
      <c r="G86" s="2"/>
      <c r="H86" s="2"/>
      <c r="I86" s="3"/>
      <c r="J86" s="4" t="str">
        <f t="shared" si="2"/>
        <v/>
      </c>
      <c r="K86" s="5"/>
      <c r="L86" s="5"/>
      <c r="M86" s="2"/>
      <c r="N86" s="2"/>
      <c r="O86" s="6" t="b">
        <f>TRUE()</f>
        <v>1</v>
      </c>
      <c r="P86" s="2" t="s">
        <v>114</v>
      </c>
    </row>
    <row r="87" spans="1:16" x14ac:dyDescent="0.2">
      <c r="A87" s="2" t="s">
        <v>116</v>
      </c>
      <c r="B87" s="2"/>
      <c r="C87" s="2" t="s">
        <v>112</v>
      </c>
      <c r="D87" s="2" t="s">
        <v>113</v>
      </c>
      <c r="E87" s="2" t="s">
        <v>19</v>
      </c>
      <c r="F87" s="2">
        <v>750</v>
      </c>
      <c r="G87" s="2"/>
      <c r="H87" s="2"/>
      <c r="I87" s="3"/>
      <c r="J87" s="4" t="str">
        <f t="shared" si="2"/>
        <v/>
      </c>
      <c r="K87" s="5"/>
      <c r="L87" s="5"/>
      <c r="M87" s="2"/>
      <c r="N87" s="2"/>
      <c r="O87" s="6" t="b">
        <f>TRUE()</f>
        <v>1</v>
      </c>
      <c r="P87" s="2" t="s">
        <v>114</v>
      </c>
    </row>
    <row r="88" spans="1:16" x14ac:dyDescent="0.2">
      <c r="A88" s="2" t="s">
        <v>117</v>
      </c>
      <c r="B88" s="2"/>
      <c r="C88" s="2" t="s">
        <v>112</v>
      </c>
      <c r="D88" s="2" t="s">
        <v>113</v>
      </c>
      <c r="E88" s="2" t="s">
        <v>19</v>
      </c>
      <c r="F88" s="2">
        <v>750</v>
      </c>
      <c r="G88" s="2"/>
      <c r="H88" s="2"/>
      <c r="I88" s="3"/>
      <c r="J88" s="4" t="str">
        <f t="shared" si="2"/>
        <v/>
      </c>
      <c r="K88" s="5"/>
      <c r="L88" s="5"/>
      <c r="M88" s="2"/>
      <c r="N88" s="2"/>
      <c r="O88" s="6" t="b">
        <f>TRUE()</f>
        <v>1</v>
      </c>
      <c r="P88" s="2" t="s">
        <v>114</v>
      </c>
    </row>
    <row r="89" spans="1:16" x14ac:dyDescent="0.2">
      <c r="A89" s="2" t="s">
        <v>118</v>
      </c>
      <c r="B89" s="2"/>
      <c r="C89" s="2" t="s">
        <v>112</v>
      </c>
      <c r="D89" s="2" t="s">
        <v>113</v>
      </c>
      <c r="E89" s="2" t="s">
        <v>19</v>
      </c>
      <c r="F89" s="2">
        <v>750</v>
      </c>
      <c r="G89" s="2"/>
      <c r="H89" s="2"/>
      <c r="I89" s="3"/>
      <c r="J89" s="4" t="str">
        <f t="shared" si="2"/>
        <v/>
      </c>
      <c r="K89" s="5"/>
      <c r="L89" s="5"/>
      <c r="M89" s="2"/>
      <c r="N89" s="2"/>
      <c r="O89" s="6" t="b">
        <f>TRUE()</f>
        <v>1</v>
      </c>
      <c r="P89" s="2" t="s">
        <v>114</v>
      </c>
    </row>
    <row r="90" spans="1:16" x14ac:dyDescent="0.2">
      <c r="A90" s="2" t="s">
        <v>119</v>
      </c>
      <c r="B90" s="2"/>
      <c r="C90" s="2" t="s">
        <v>90</v>
      </c>
      <c r="D90" s="2" t="s">
        <v>120</v>
      </c>
      <c r="E90" s="2" t="s">
        <v>121</v>
      </c>
      <c r="F90" s="2">
        <v>58674</v>
      </c>
      <c r="G90" s="2"/>
      <c r="H90" s="2"/>
      <c r="I90" s="3"/>
      <c r="J90" s="4" t="str">
        <f t="shared" si="2"/>
        <v/>
      </c>
      <c r="K90" s="5"/>
      <c r="L90" s="5"/>
      <c r="M90" s="2"/>
      <c r="N90" s="2"/>
      <c r="O90" s="6" t="b">
        <f>TRUE()</f>
        <v>1</v>
      </c>
      <c r="P90" s="2" t="s">
        <v>122</v>
      </c>
    </row>
    <row r="91" spans="1:16" x14ac:dyDescent="0.2">
      <c r="A91" s="2" t="s">
        <v>123</v>
      </c>
      <c r="B91" s="2"/>
      <c r="C91" s="2" t="s">
        <v>90</v>
      </c>
      <c r="D91" s="2" t="s">
        <v>120</v>
      </c>
      <c r="E91" s="2" t="s">
        <v>121</v>
      </c>
      <c r="F91" s="2">
        <v>29337</v>
      </c>
      <c r="G91" s="2"/>
      <c r="H91" s="2"/>
      <c r="I91" s="3"/>
      <c r="J91" s="4" t="str">
        <f t="shared" si="2"/>
        <v/>
      </c>
      <c r="K91" s="5"/>
      <c r="L91" s="5"/>
      <c r="M91" s="2"/>
      <c r="N91" s="2"/>
      <c r="O91" s="6" t="b">
        <f>TRUE()</f>
        <v>1</v>
      </c>
      <c r="P91" s="2" t="s">
        <v>124</v>
      </c>
    </row>
    <row r="92" spans="1:16" x14ac:dyDescent="0.2">
      <c r="A92" s="2" t="s">
        <v>125</v>
      </c>
      <c r="B92" s="2"/>
      <c r="C92" s="2" t="s">
        <v>90</v>
      </c>
      <c r="D92" s="2" t="s">
        <v>120</v>
      </c>
      <c r="E92" s="2" t="s">
        <v>121</v>
      </c>
      <c r="F92" s="2">
        <v>19533</v>
      </c>
      <c r="G92" s="2"/>
      <c r="H92" s="2"/>
      <c r="I92" s="3"/>
      <c r="J92" s="4" t="str">
        <f t="shared" si="2"/>
        <v/>
      </c>
      <c r="K92" s="5"/>
      <c r="L92" s="5"/>
      <c r="M92" s="2"/>
      <c r="N92" s="2"/>
      <c r="O92" s="6" t="b">
        <f>TRUE()</f>
        <v>1</v>
      </c>
      <c r="P92" s="2" t="s">
        <v>126</v>
      </c>
    </row>
    <row r="93" spans="1:16" x14ac:dyDescent="0.2">
      <c r="A93" s="2" t="s">
        <v>127</v>
      </c>
      <c r="B93" s="2"/>
      <c r="C93" s="2" t="s">
        <v>90</v>
      </c>
      <c r="D93" s="2" t="s">
        <v>120</v>
      </c>
      <c r="E93" s="2" t="s">
        <v>121</v>
      </c>
      <c r="F93" s="2">
        <v>19533</v>
      </c>
      <c r="G93" s="2"/>
      <c r="H93" s="2"/>
      <c r="I93" s="3"/>
      <c r="J93" s="4" t="str">
        <f t="shared" si="2"/>
        <v/>
      </c>
      <c r="K93" s="5"/>
      <c r="L93" s="5"/>
      <c r="M93" s="2"/>
      <c r="N93" s="2"/>
      <c r="O93" s="6" t="b">
        <f>TRUE()</f>
        <v>1</v>
      </c>
      <c r="P93" s="2" t="s">
        <v>126</v>
      </c>
    </row>
    <row r="94" spans="1:16" x14ac:dyDescent="0.2">
      <c r="A94" s="2" t="s">
        <v>128</v>
      </c>
      <c r="B94" s="2"/>
      <c r="C94" s="2" t="s">
        <v>90</v>
      </c>
      <c r="D94" s="2" t="s">
        <v>120</v>
      </c>
      <c r="E94" s="2" t="s">
        <v>121</v>
      </c>
      <c r="F94" s="2">
        <v>19533</v>
      </c>
      <c r="G94" s="2"/>
      <c r="H94" s="2"/>
      <c r="I94" s="3"/>
      <c r="J94" s="4" t="str">
        <f t="shared" si="2"/>
        <v/>
      </c>
      <c r="K94" s="5"/>
      <c r="L94" s="5"/>
      <c r="M94" s="2"/>
      <c r="N94" s="2"/>
      <c r="O94" s="6" t="b">
        <f>TRUE()</f>
        <v>1</v>
      </c>
      <c r="P94" s="2" t="s">
        <v>126</v>
      </c>
    </row>
    <row r="95" spans="1:16" x14ac:dyDescent="0.2">
      <c r="A95" s="2" t="s">
        <v>129</v>
      </c>
      <c r="B95" s="2"/>
      <c r="C95" s="2" t="s">
        <v>90</v>
      </c>
      <c r="D95" s="2" t="s">
        <v>120</v>
      </c>
      <c r="E95" s="2" t="s">
        <v>121</v>
      </c>
      <c r="F95" s="2">
        <v>19533</v>
      </c>
      <c r="G95" s="2"/>
      <c r="H95" s="2"/>
      <c r="I95" s="3"/>
      <c r="J95" s="4" t="str">
        <f t="shared" si="2"/>
        <v/>
      </c>
      <c r="K95" s="5"/>
      <c r="L95" s="5"/>
      <c r="M95" s="2"/>
      <c r="N95" s="2"/>
      <c r="O95" s="6" t="b">
        <f>TRUE()</f>
        <v>1</v>
      </c>
      <c r="P95" s="2" t="s">
        <v>126</v>
      </c>
    </row>
    <row r="96" spans="1:16" x14ac:dyDescent="0.2">
      <c r="A96" s="2" t="s">
        <v>130</v>
      </c>
      <c r="B96" s="2"/>
      <c r="C96" s="2" t="s">
        <v>90</v>
      </c>
      <c r="D96" s="2" t="s">
        <v>120</v>
      </c>
      <c r="E96" s="2" t="s">
        <v>121</v>
      </c>
      <c r="F96" s="2">
        <v>19533</v>
      </c>
      <c r="G96" s="2"/>
      <c r="H96" s="2"/>
      <c r="I96" s="3"/>
      <c r="J96" s="4" t="str">
        <f t="shared" si="2"/>
        <v/>
      </c>
      <c r="K96" s="5"/>
      <c r="L96" s="5"/>
      <c r="M96" s="2"/>
      <c r="N96" s="2"/>
      <c r="O96" s="6" t="b">
        <f>TRUE()</f>
        <v>1</v>
      </c>
      <c r="P96" s="2" t="s">
        <v>126</v>
      </c>
    </row>
    <row r="97" spans="1:16" x14ac:dyDescent="0.2">
      <c r="A97" s="2" t="s">
        <v>131</v>
      </c>
      <c r="B97" s="2"/>
      <c r="C97" s="2" t="s">
        <v>90</v>
      </c>
      <c r="D97" s="2" t="s">
        <v>120</v>
      </c>
      <c r="E97" s="2" t="s">
        <v>121</v>
      </c>
      <c r="F97" s="2">
        <v>19533</v>
      </c>
      <c r="G97" s="2"/>
      <c r="H97" s="2"/>
      <c r="I97" s="3"/>
      <c r="J97" s="4" t="str">
        <f t="shared" si="2"/>
        <v/>
      </c>
      <c r="K97" s="5"/>
      <c r="L97" s="5"/>
      <c r="M97" s="2"/>
      <c r="N97" s="2"/>
      <c r="O97" s="6" t="b">
        <f>TRUE()</f>
        <v>1</v>
      </c>
      <c r="P97" s="2" t="s">
        <v>126</v>
      </c>
    </row>
    <row r="98" spans="1:16" x14ac:dyDescent="0.2">
      <c r="A98" s="2" t="s">
        <v>132</v>
      </c>
      <c r="B98" s="2"/>
      <c r="C98" s="2" t="s">
        <v>90</v>
      </c>
      <c r="D98" s="2" t="s">
        <v>120</v>
      </c>
      <c r="E98" s="2" t="s">
        <v>121</v>
      </c>
      <c r="F98" s="2">
        <v>19533</v>
      </c>
      <c r="G98" s="2"/>
      <c r="H98" s="2"/>
      <c r="I98" s="3"/>
      <c r="J98" s="4" t="str">
        <f t="shared" si="2"/>
        <v/>
      </c>
      <c r="K98" s="5"/>
      <c r="L98" s="5"/>
      <c r="M98" s="2"/>
      <c r="N98" s="2"/>
      <c r="O98" s="6" t="b">
        <f>TRUE()</f>
        <v>1</v>
      </c>
      <c r="P98" s="2" t="s">
        <v>126</v>
      </c>
    </row>
    <row r="99" spans="1:16" x14ac:dyDescent="0.2">
      <c r="A99" s="2"/>
      <c r="B99" s="2"/>
      <c r="C99" s="2"/>
      <c r="D99" s="2"/>
      <c r="E99" s="2"/>
      <c r="F99" s="2"/>
      <c r="G99" s="2"/>
      <c r="H99" s="2"/>
      <c r="I99" s="3"/>
      <c r="J99" s="4" t="str">
        <f t="shared" si="2"/>
        <v/>
      </c>
      <c r="K99" s="5"/>
      <c r="L99" s="5"/>
      <c r="M99" s="2"/>
      <c r="N99" s="2"/>
      <c r="O99" s="6" t="b">
        <f>TRUE()</f>
        <v>1</v>
      </c>
      <c r="P99" s="2"/>
    </row>
    <row r="100" spans="1:16" x14ac:dyDescent="0.2">
      <c r="A100" s="2"/>
      <c r="B100" s="2"/>
      <c r="C100" s="2"/>
      <c r="D100" s="2"/>
      <c r="E100" s="2"/>
      <c r="F100" s="2"/>
      <c r="G100" s="2"/>
      <c r="H100" s="2"/>
      <c r="I100" s="3"/>
      <c r="J100" s="4" t="str">
        <f t="shared" ref="J100:J131" si="3">IFERROR(I100/G100,"")</f>
        <v/>
      </c>
      <c r="K100" s="5"/>
      <c r="L100" s="5"/>
      <c r="M100" s="2"/>
      <c r="N100" s="2"/>
      <c r="O100" s="6" t="b">
        <f>TRUE()</f>
        <v>1</v>
      </c>
      <c r="P100" s="2"/>
    </row>
    <row r="101" spans="1:16" x14ac:dyDescent="0.2">
      <c r="A101" s="2"/>
      <c r="B101" s="2"/>
      <c r="C101" s="2"/>
      <c r="D101" s="2"/>
      <c r="E101" s="2"/>
      <c r="F101" s="2"/>
      <c r="G101" s="2"/>
      <c r="H101" s="2"/>
      <c r="I101" s="3"/>
      <c r="J101" s="4" t="str">
        <f t="shared" si="3"/>
        <v/>
      </c>
      <c r="K101" s="5"/>
      <c r="L101" s="5"/>
      <c r="M101" s="2"/>
      <c r="N101" s="2"/>
      <c r="O101" s="6" t="b">
        <f>TRUE()</f>
        <v>1</v>
      </c>
      <c r="P101" s="2"/>
    </row>
    <row r="102" spans="1:16" x14ac:dyDescent="0.2">
      <c r="A102" s="2"/>
      <c r="B102" s="2"/>
      <c r="C102" s="2"/>
      <c r="D102" s="2"/>
      <c r="E102" s="2"/>
      <c r="F102" s="2"/>
      <c r="G102" s="2"/>
      <c r="H102" s="2"/>
      <c r="I102" s="3"/>
      <c r="J102" s="4" t="str">
        <f t="shared" si="3"/>
        <v/>
      </c>
      <c r="K102" s="5"/>
      <c r="L102" s="5"/>
      <c r="M102" s="2"/>
      <c r="N102" s="2"/>
      <c r="O102" s="6" t="b">
        <f>TRUE()</f>
        <v>1</v>
      </c>
      <c r="P102" s="2"/>
    </row>
    <row r="103" spans="1:16" x14ac:dyDescent="0.2">
      <c r="A103" s="2"/>
      <c r="B103" s="2"/>
      <c r="C103" s="2"/>
      <c r="D103" s="2"/>
      <c r="E103" s="2"/>
      <c r="F103" s="2"/>
      <c r="G103" s="2"/>
      <c r="H103" s="2"/>
      <c r="I103" s="3"/>
      <c r="J103" s="4" t="str">
        <f t="shared" si="3"/>
        <v/>
      </c>
      <c r="K103" s="5"/>
      <c r="L103" s="5"/>
      <c r="M103" s="2"/>
      <c r="N103" s="2"/>
      <c r="O103" s="6" t="b">
        <f>TRUE()</f>
        <v>1</v>
      </c>
      <c r="P103" s="2"/>
    </row>
    <row r="104" spans="1:16" x14ac:dyDescent="0.2">
      <c r="A104" s="2"/>
      <c r="B104" s="2"/>
      <c r="C104" s="2"/>
      <c r="D104" s="2"/>
      <c r="E104" s="2"/>
      <c r="F104" s="2"/>
      <c r="G104" s="2"/>
      <c r="H104" s="2"/>
      <c r="I104" s="3"/>
      <c r="J104" s="4" t="str">
        <f t="shared" si="3"/>
        <v/>
      </c>
      <c r="K104" s="5"/>
      <c r="L104" s="5"/>
      <c r="M104" s="2"/>
      <c r="N104" s="2"/>
      <c r="O104" s="6" t="b">
        <f>TRUE()</f>
        <v>1</v>
      </c>
      <c r="P104" s="2"/>
    </row>
    <row r="105" spans="1:16" x14ac:dyDescent="0.2">
      <c r="A105" s="2"/>
      <c r="B105" s="2"/>
      <c r="C105" s="2"/>
      <c r="D105" s="2"/>
      <c r="E105" s="2"/>
      <c r="F105" s="2"/>
      <c r="G105" s="2"/>
      <c r="H105" s="2"/>
      <c r="I105" s="3"/>
      <c r="J105" s="4" t="str">
        <f t="shared" si="3"/>
        <v/>
      </c>
      <c r="K105" s="5"/>
      <c r="L105" s="5"/>
      <c r="M105" s="2"/>
      <c r="N105" s="2"/>
      <c r="O105" s="6" t="b">
        <f>TRUE()</f>
        <v>1</v>
      </c>
      <c r="P105" s="2"/>
    </row>
    <row r="106" spans="1:16" x14ac:dyDescent="0.2">
      <c r="A106" s="2"/>
      <c r="B106" s="2"/>
      <c r="C106" s="2"/>
      <c r="D106" s="2"/>
      <c r="E106" s="2"/>
      <c r="F106" s="2"/>
      <c r="G106" s="2"/>
      <c r="H106" s="2"/>
      <c r="I106" s="3"/>
      <c r="J106" s="4" t="str">
        <f t="shared" si="3"/>
        <v/>
      </c>
      <c r="K106" s="5"/>
      <c r="L106" s="5"/>
      <c r="M106" s="2"/>
      <c r="N106" s="2"/>
      <c r="O106" s="6" t="b">
        <f>TRUE()</f>
        <v>1</v>
      </c>
      <c r="P106" s="2"/>
    </row>
    <row r="107" spans="1:16" x14ac:dyDescent="0.2">
      <c r="A107" s="2"/>
      <c r="B107" s="2"/>
      <c r="C107" s="2"/>
      <c r="D107" s="2"/>
      <c r="E107" s="2"/>
      <c r="F107" s="2"/>
      <c r="G107" s="2"/>
      <c r="H107" s="2"/>
      <c r="I107" s="3"/>
      <c r="J107" s="4" t="str">
        <f t="shared" si="3"/>
        <v/>
      </c>
      <c r="K107" s="5"/>
      <c r="L107" s="5"/>
      <c r="M107" s="2"/>
      <c r="N107" s="2"/>
      <c r="O107" s="6" t="b">
        <f>TRUE()</f>
        <v>1</v>
      </c>
      <c r="P107" s="2"/>
    </row>
    <row r="108" spans="1:16" x14ac:dyDescent="0.2">
      <c r="A108" s="2"/>
      <c r="B108" s="2"/>
      <c r="C108" s="2"/>
      <c r="D108" s="2"/>
      <c r="E108" s="2"/>
      <c r="F108" s="2"/>
      <c r="G108" s="2"/>
      <c r="H108" s="2"/>
      <c r="I108" s="3"/>
      <c r="J108" s="4" t="str">
        <f t="shared" si="3"/>
        <v/>
      </c>
      <c r="K108" s="5"/>
      <c r="L108" s="5"/>
      <c r="M108" s="2"/>
      <c r="N108" s="2"/>
      <c r="O108" s="6" t="b">
        <f>TRUE()</f>
        <v>1</v>
      </c>
      <c r="P108" s="2"/>
    </row>
    <row r="109" spans="1:16" x14ac:dyDescent="0.2">
      <c r="A109" s="2"/>
      <c r="B109" s="2"/>
      <c r="C109" s="2"/>
      <c r="D109" s="2"/>
      <c r="E109" s="2"/>
      <c r="F109" s="2"/>
      <c r="G109" s="2"/>
      <c r="H109" s="2"/>
      <c r="I109" s="3"/>
      <c r="J109" s="4" t="str">
        <f t="shared" si="3"/>
        <v/>
      </c>
      <c r="K109" s="5"/>
      <c r="L109" s="5"/>
      <c r="M109" s="2"/>
      <c r="N109" s="2"/>
      <c r="O109" s="6" t="b">
        <f>TRUE()</f>
        <v>1</v>
      </c>
      <c r="P109" s="2"/>
    </row>
    <row r="110" spans="1:16" x14ac:dyDescent="0.2">
      <c r="A110" s="2"/>
      <c r="B110" s="2"/>
      <c r="C110" s="2"/>
      <c r="D110" s="2"/>
      <c r="E110" s="2"/>
      <c r="F110" s="2"/>
      <c r="G110" s="2"/>
      <c r="H110" s="2"/>
      <c r="I110" s="3"/>
      <c r="J110" s="4" t="str">
        <f t="shared" si="3"/>
        <v/>
      </c>
      <c r="K110" s="5"/>
      <c r="L110" s="5"/>
      <c r="M110" s="2"/>
      <c r="N110" s="2"/>
      <c r="O110" s="6" t="b">
        <f>TRUE()</f>
        <v>1</v>
      </c>
      <c r="P110" s="2"/>
    </row>
    <row r="111" spans="1:16" x14ac:dyDescent="0.2">
      <c r="A111" s="2"/>
      <c r="B111" s="2"/>
      <c r="C111" s="2"/>
      <c r="D111" s="2"/>
      <c r="E111" s="2"/>
      <c r="F111" s="2"/>
      <c r="G111" s="2"/>
      <c r="H111" s="2"/>
      <c r="I111" s="3"/>
      <c r="J111" s="4" t="str">
        <f t="shared" si="3"/>
        <v/>
      </c>
      <c r="K111" s="5"/>
      <c r="L111" s="5"/>
      <c r="M111" s="2"/>
      <c r="N111" s="2"/>
      <c r="O111" s="6" t="b">
        <f>TRUE()</f>
        <v>1</v>
      </c>
      <c r="P111" s="2"/>
    </row>
    <row r="112" spans="1:16" x14ac:dyDescent="0.2">
      <c r="A112" s="2"/>
      <c r="B112" s="2"/>
      <c r="C112" s="2"/>
      <c r="D112" s="2"/>
      <c r="E112" s="2"/>
      <c r="F112" s="2"/>
      <c r="G112" s="2"/>
      <c r="H112" s="2"/>
      <c r="I112" s="3"/>
      <c r="J112" s="4" t="str">
        <f t="shared" si="3"/>
        <v/>
      </c>
      <c r="K112" s="5"/>
      <c r="L112" s="5"/>
      <c r="M112" s="2"/>
      <c r="N112" s="2"/>
      <c r="O112" s="6" t="b">
        <f>TRUE()</f>
        <v>1</v>
      </c>
      <c r="P112" s="2"/>
    </row>
    <row r="113" spans="1:16" x14ac:dyDescent="0.2">
      <c r="A113" s="2"/>
      <c r="B113" s="2"/>
      <c r="C113" s="2"/>
      <c r="D113" s="2"/>
      <c r="E113" s="2"/>
      <c r="F113" s="2"/>
      <c r="G113" s="2"/>
      <c r="H113" s="2"/>
      <c r="I113" s="3"/>
      <c r="J113" s="4" t="str">
        <f t="shared" si="3"/>
        <v/>
      </c>
      <c r="K113" s="5"/>
      <c r="L113" s="5"/>
      <c r="M113" s="2"/>
      <c r="N113" s="2"/>
      <c r="O113" s="6" t="b">
        <f>TRUE()</f>
        <v>1</v>
      </c>
      <c r="P113" s="2"/>
    </row>
    <row r="114" spans="1:16" x14ac:dyDescent="0.2">
      <c r="A114" s="2"/>
      <c r="B114" s="2"/>
      <c r="C114" s="2"/>
      <c r="D114" s="2"/>
      <c r="E114" s="2"/>
      <c r="F114" s="2"/>
      <c r="G114" s="2"/>
      <c r="H114" s="2"/>
      <c r="I114" s="3"/>
      <c r="J114" s="4" t="str">
        <f t="shared" si="3"/>
        <v/>
      </c>
      <c r="K114" s="5"/>
      <c r="L114" s="5"/>
      <c r="M114" s="2"/>
      <c r="N114" s="2"/>
      <c r="O114" s="6" t="b">
        <f>TRUE()</f>
        <v>1</v>
      </c>
      <c r="P114" s="2"/>
    </row>
    <row r="115" spans="1:16" x14ac:dyDescent="0.2">
      <c r="A115" s="2"/>
      <c r="B115" s="2"/>
      <c r="C115" s="2"/>
      <c r="D115" s="2"/>
      <c r="E115" s="2"/>
      <c r="F115" s="2"/>
      <c r="G115" s="2"/>
      <c r="H115" s="2"/>
      <c r="I115" s="3"/>
      <c r="J115" s="4" t="str">
        <f t="shared" si="3"/>
        <v/>
      </c>
      <c r="K115" s="5"/>
      <c r="L115" s="5"/>
      <c r="M115" s="2"/>
      <c r="N115" s="2"/>
      <c r="O115" s="6" t="b">
        <f>TRUE()</f>
        <v>1</v>
      </c>
      <c r="P115" s="2"/>
    </row>
    <row r="116" spans="1:16" x14ac:dyDescent="0.2">
      <c r="A116" s="2"/>
      <c r="B116" s="2"/>
      <c r="C116" s="2"/>
      <c r="D116" s="2"/>
      <c r="E116" s="2"/>
      <c r="F116" s="2"/>
      <c r="G116" s="2"/>
      <c r="H116" s="2"/>
      <c r="I116" s="3"/>
      <c r="J116" s="4" t="str">
        <f t="shared" si="3"/>
        <v/>
      </c>
      <c r="K116" s="5"/>
      <c r="L116" s="5"/>
      <c r="M116" s="2"/>
      <c r="N116" s="2"/>
      <c r="O116" s="6" t="b">
        <f>TRUE()</f>
        <v>1</v>
      </c>
      <c r="P116" s="2"/>
    </row>
    <row r="117" spans="1:16" x14ac:dyDescent="0.2">
      <c r="A117" s="2"/>
      <c r="B117" s="2"/>
      <c r="C117" s="2"/>
      <c r="D117" s="2"/>
      <c r="E117" s="2"/>
      <c r="F117" s="2"/>
      <c r="G117" s="2"/>
      <c r="H117" s="2"/>
      <c r="I117" s="3"/>
      <c r="J117" s="4" t="str">
        <f t="shared" si="3"/>
        <v/>
      </c>
      <c r="K117" s="5"/>
      <c r="L117" s="5"/>
      <c r="M117" s="2"/>
      <c r="N117" s="2"/>
      <c r="O117" s="6" t="b">
        <f>TRUE()</f>
        <v>1</v>
      </c>
      <c r="P117" s="2"/>
    </row>
    <row r="118" spans="1:16" x14ac:dyDescent="0.2">
      <c r="A118" s="2"/>
      <c r="B118" s="2"/>
      <c r="C118" s="2"/>
      <c r="D118" s="2"/>
      <c r="E118" s="2"/>
      <c r="F118" s="2"/>
      <c r="G118" s="2"/>
      <c r="H118" s="2"/>
      <c r="I118" s="3"/>
      <c r="J118" s="4" t="str">
        <f t="shared" si="3"/>
        <v/>
      </c>
      <c r="K118" s="5"/>
      <c r="L118" s="5"/>
      <c r="M118" s="2"/>
      <c r="N118" s="2"/>
      <c r="O118" s="6" t="b">
        <f>TRUE()</f>
        <v>1</v>
      </c>
      <c r="P118" s="2"/>
    </row>
    <row r="119" spans="1:16" x14ac:dyDescent="0.2">
      <c r="A119" s="2"/>
      <c r="B119" s="2"/>
      <c r="C119" s="2"/>
      <c r="D119" s="2"/>
      <c r="E119" s="2"/>
      <c r="F119" s="2"/>
      <c r="G119" s="2"/>
      <c r="H119" s="2"/>
      <c r="I119" s="3"/>
      <c r="J119" s="4" t="str">
        <f t="shared" si="3"/>
        <v/>
      </c>
      <c r="K119" s="5"/>
      <c r="L119" s="5"/>
      <c r="M119" s="2"/>
      <c r="N119" s="2"/>
      <c r="O119" s="6" t="b">
        <f>TRUE()</f>
        <v>1</v>
      </c>
      <c r="P119" s="2"/>
    </row>
    <row r="120" spans="1:16" x14ac:dyDescent="0.2">
      <c r="A120" s="2"/>
      <c r="B120" s="2"/>
      <c r="C120" s="2"/>
      <c r="D120" s="2"/>
      <c r="E120" s="2"/>
      <c r="F120" s="2"/>
      <c r="G120" s="2"/>
      <c r="H120" s="2"/>
      <c r="I120" s="3"/>
      <c r="J120" s="4" t="str">
        <f t="shared" si="3"/>
        <v/>
      </c>
      <c r="K120" s="5"/>
      <c r="L120" s="5"/>
      <c r="M120" s="2"/>
      <c r="N120" s="2"/>
      <c r="O120" s="6" t="b">
        <f>TRUE()</f>
        <v>1</v>
      </c>
      <c r="P120" s="2"/>
    </row>
    <row r="121" spans="1:16" x14ac:dyDescent="0.2">
      <c r="A121" s="2"/>
      <c r="B121" s="2"/>
      <c r="C121" s="2"/>
      <c r="D121" s="2"/>
      <c r="E121" s="2"/>
      <c r="F121" s="2"/>
      <c r="G121" s="2"/>
      <c r="H121" s="2"/>
      <c r="I121" s="3"/>
      <c r="J121" s="4" t="str">
        <f t="shared" si="3"/>
        <v/>
      </c>
      <c r="K121" s="5"/>
      <c r="L121" s="5"/>
      <c r="M121" s="2"/>
      <c r="N121" s="2"/>
      <c r="O121" s="6" t="b">
        <f>TRUE()</f>
        <v>1</v>
      </c>
      <c r="P121" s="2"/>
    </row>
    <row r="122" spans="1:16" x14ac:dyDescent="0.2">
      <c r="A122" s="2"/>
      <c r="B122" s="2"/>
      <c r="C122" s="2"/>
      <c r="D122" s="2"/>
      <c r="E122" s="2"/>
      <c r="F122" s="2"/>
      <c r="G122" s="2"/>
      <c r="H122" s="2"/>
      <c r="I122" s="3"/>
      <c r="J122" s="4" t="str">
        <f t="shared" si="3"/>
        <v/>
      </c>
      <c r="K122" s="5"/>
      <c r="L122" s="5"/>
      <c r="M122" s="2"/>
      <c r="N122" s="2"/>
      <c r="O122" s="6" t="b">
        <f>TRUE()</f>
        <v>1</v>
      </c>
      <c r="P122" s="2"/>
    </row>
    <row r="123" spans="1:16" x14ac:dyDescent="0.2">
      <c r="A123" s="2"/>
      <c r="B123" s="2"/>
      <c r="C123" s="2"/>
      <c r="D123" s="2"/>
      <c r="E123" s="2"/>
      <c r="F123" s="2"/>
      <c r="G123" s="2"/>
      <c r="H123" s="2"/>
      <c r="I123" s="3"/>
      <c r="J123" s="4" t="str">
        <f t="shared" si="3"/>
        <v/>
      </c>
      <c r="K123" s="5"/>
      <c r="L123" s="5"/>
      <c r="M123" s="2"/>
      <c r="N123" s="2"/>
      <c r="O123" s="6" t="b">
        <f>TRUE()</f>
        <v>1</v>
      </c>
      <c r="P123" s="2"/>
    </row>
    <row r="124" spans="1:16" x14ac:dyDescent="0.2">
      <c r="A124" s="2"/>
      <c r="B124" s="2"/>
      <c r="C124" s="2"/>
      <c r="D124" s="2"/>
      <c r="E124" s="2"/>
      <c r="F124" s="2"/>
      <c r="G124" s="2"/>
      <c r="H124" s="2"/>
      <c r="I124" s="3"/>
      <c r="J124" s="4" t="str">
        <f t="shared" si="3"/>
        <v/>
      </c>
      <c r="K124" s="5"/>
      <c r="L124" s="5"/>
      <c r="M124" s="2"/>
      <c r="N124" s="2"/>
      <c r="O124" s="6" t="b">
        <f>TRUE()</f>
        <v>1</v>
      </c>
      <c r="P124" s="2"/>
    </row>
    <row r="125" spans="1:16" x14ac:dyDescent="0.2">
      <c r="A125" s="2"/>
      <c r="B125" s="2"/>
      <c r="C125" s="2"/>
      <c r="D125" s="2"/>
      <c r="E125" s="2"/>
      <c r="F125" s="2"/>
      <c r="G125" s="2"/>
      <c r="H125" s="2"/>
      <c r="I125" s="3"/>
      <c r="J125" s="4" t="str">
        <f t="shared" si="3"/>
        <v/>
      </c>
      <c r="K125" s="5"/>
      <c r="L125" s="5"/>
      <c r="M125" s="2"/>
      <c r="N125" s="2"/>
      <c r="O125" s="6" t="b">
        <f>TRUE()</f>
        <v>1</v>
      </c>
      <c r="P125" s="2"/>
    </row>
    <row r="126" spans="1:16" x14ac:dyDescent="0.2">
      <c r="A126" s="2"/>
      <c r="B126" s="2"/>
      <c r="C126" s="2"/>
      <c r="D126" s="2"/>
      <c r="E126" s="2"/>
      <c r="F126" s="2"/>
      <c r="G126" s="2"/>
      <c r="H126" s="2"/>
      <c r="I126" s="3"/>
      <c r="J126" s="4" t="str">
        <f t="shared" si="3"/>
        <v/>
      </c>
      <c r="K126" s="5"/>
      <c r="L126" s="5"/>
      <c r="M126" s="2"/>
      <c r="N126" s="2"/>
      <c r="O126" s="6" t="b">
        <f>TRUE()</f>
        <v>1</v>
      </c>
      <c r="P126" s="2"/>
    </row>
    <row r="127" spans="1:16" x14ac:dyDescent="0.2">
      <c r="A127" s="2"/>
      <c r="B127" s="2"/>
      <c r="C127" s="2"/>
      <c r="D127" s="2"/>
      <c r="E127" s="2"/>
      <c r="F127" s="2"/>
      <c r="G127" s="2"/>
      <c r="H127" s="2"/>
      <c r="I127" s="3"/>
      <c r="J127" s="4" t="str">
        <f t="shared" si="3"/>
        <v/>
      </c>
      <c r="K127" s="5"/>
      <c r="L127" s="5"/>
      <c r="M127" s="2"/>
      <c r="N127" s="2"/>
      <c r="O127" s="6" t="b">
        <f>TRUE()</f>
        <v>1</v>
      </c>
      <c r="P127" s="2"/>
    </row>
    <row r="128" spans="1:16" x14ac:dyDescent="0.2">
      <c r="A128" s="2"/>
      <c r="B128" s="2"/>
      <c r="C128" s="2"/>
      <c r="D128" s="2"/>
      <c r="E128" s="2"/>
      <c r="F128" s="2"/>
      <c r="G128" s="2"/>
      <c r="H128" s="2"/>
      <c r="I128" s="3"/>
      <c r="J128" s="4" t="str">
        <f t="shared" si="3"/>
        <v/>
      </c>
      <c r="K128" s="5"/>
      <c r="L128" s="5"/>
      <c r="M128" s="2"/>
      <c r="N128" s="2"/>
      <c r="O128" s="6" t="b">
        <f>TRUE()</f>
        <v>1</v>
      </c>
      <c r="P128" s="2"/>
    </row>
    <row r="129" spans="1:16" x14ac:dyDescent="0.2">
      <c r="A129" s="2"/>
      <c r="B129" s="2"/>
      <c r="C129" s="2"/>
      <c r="D129" s="2"/>
      <c r="E129" s="2"/>
      <c r="F129" s="2"/>
      <c r="G129" s="2"/>
      <c r="H129" s="2"/>
      <c r="I129" s="3"/>
      <c r="J129" s="4" t="str">
        <f t="shared" si="3"/>
        <v/>
      </c>
      <c r="K129" s="5"/>
      <c r="L129" s="5"/>
      <c r="M129" s="2"/>
      <c r="N129" s="2"/>
      <c r="O129" s="6" t="b">
        <f>TRUE()</f>
        <v>1</v>
      </c>
      <c r="P129" s="2"/>
    </row>
    <row r="130" spans="1:16" x14ac:dyDescent="0.2">
      <c r="A130" s="2"/>
      <c r="B130" s="2"/>
      <c r="C130" s="2"/>
      <c r="D130" s="2"/>
      <c r="E130" s="2"/>
      <c r="F130" s="2"/>
      <c r="G130" s="2"/>
      <c r="H130" s="2"/>
      <c r="I130" s="3"/>
      <c r="J130" s="4" t="str">
        <f t="shared" si="3"/>
        <v/>
      </c>
      <c r="K130" s="5"/>
      <c r="L130" s="5"/>
      <c r="M130" s="2"/>
      <c r="N130" s="2"/>
      <c r="O130" s="6" t="b">
        <f>TRUE()</f>
        <v>1</v>
      </c>
      <c r="P130" s="2"/>
    </row>
    <row r="131" spans="1:16" x14ac:dyDescent="0.2">
      <c r="A131" s="2"/>
      <c r="B131" s="2"/>
      <c r="C131" s="2"/>
      <c r="D131" s="2"/>
      <c r="E131" s="2"/>
      <c r="F131" s="2"/>
      <c r="G131" s="2"/>
      <c r="H131" s="2"/>
      <c r="I131" s="3"/>
      <c r="J131" s="4" t="str">
        <f t="shared" si="3"/>
        <v/>
      </c>
      <c r="K131" s="5"/>
      <c r="L131" s="5"/>
      <c r="M131" s="2"/>
      <c r="N131" s="2"/>
      <c r="O131" s="6" t="b">
        <f>TRUE()</f>
        <v>1</v>
      </c>
      <c r="P131" s="2"/>
    </row>
    <row r="132" spans="1:16" x14ac:dyDescent="0.2">
      <c r="A132" s="2"/>
      <c r="B132" s="2"/>
      <c r="C132" s="2"/>
      <c r="D132" s="2"/>
      <c r="E132" s="2"/>
      <c r="F132" s="2"/>
      <c r="G132" s="2"/>
      <c r="H132" s="2"/>
      <c r="I132" s="3"/>
      <c r="J132" s="4" t="str">
        <f t="shared" ref="J132:J163" si="4">IFERROR(I132/G132,"")</f>
        <v/>
      </c>
      <c r="K132" s="5"/>
      <c r="L132" s="5"/>
      <c r="M132" s="2"/>
      <c r="N132" s="2"/>
      <c r="O132" s="6" t="b">
        <f>TRUE()</f>
        <v>1</v>
      </c>
      <c r="P132" s="2"/>
    </row>
    <row r="133" spans="1:16" x14ac:dyDescent="0.2">
      <c r="A133" s="2"/>
      <c r="B133" s="2"/>
      <c r="C133" s="2"/>
      <c r="D133" s="2"/>
      <c r="E133" s="2"/>
      <c r="F133" s="2"/>
      <c r="G133" s="2"/>
      <c r="H133" s="2"/>
      <c r="I133" s="3"/>
      <c r="J133" s="4" t="str">
        <f t="shared" si="4"/>
        <v/>
      </c>
      <c r="K133" s="5"/>
      <c r="L133" s="5"/>
      <c r="M133" s="2"/>
      <c r="N133" s="2"/>
      <c r="O133" s="6" t="b">
        <f>TRUE()</f>
        <v>1</v>
      </c>
      <c r="P133" s="2"/>
    </row>
    <row r="134" spans="1:16" x14ac:dyDescent="0.2">
      <c r="A134" s="2"/>
      <c r="B134" s="2"/>
      <c r="C134" s="2"/>
      <c r="D134" s="2"/>
      <c r="E134" s="2"/>
      <c r="F134" s="2"/>
      <c r="G134" s="2"/>
      <c r="H134" s="2"/>
      <c r="I134" s="3"/>
      <c r="J134" s="4" t="str">
        <f t="shared" si="4"/>
        <v/>
      </c>
      <c r="K134" s="5"/>
      <c r="L134" s="5"/>
      <c r="M134" s="2"/>
      <c r="N134" s="2"/>
      <c r="O134" s="6" t="b">
        <f>TRUE()</f>
        <v>1</v>
      </c>
      <c r="P134" s="2"/>
    </row>
    <row r="135" spans="1:16" x14ac:dyDescent="0.2">
      <c r="A135" s="2"/>
      <c r="B135" s="2"/>
      <c r="C135" s="2"/>
      <c r="D135" s="2"/>
      <c r="E135" s="2"/>
      <c r="F135" s="2"/>
      <c r="G135" s="2"/>
      <c r="H135" s="2"/>
      <c r="I135" s="3"/>
      <c r="J135" s="4" t="str">
        <f t="shared" si="4"/>
        <v/>
      </c>
      <c r="K135" s="5"/>
      <c r="L135" s="5"/>
      <c r="M135" s="2"/>
      <c r="N135" s="2"/>
      <c r="O135" s="6" t="b">
        <f>TRUE()</f>
        <v>1</v>
      </c>
      <c r="P135" s="2"/>
    </row>
    <row r="136" spans="1:16" x14ac:dyDescent="0.2">
      <c r="A136" s="2"/>
      <c r="B136" s="2"/>
      <c r="C136" s="2"/>
      <c r="D136" s="2"/>
      <c r="E136" s="2"/>
      <c r="F136" s="2"/>
      <c r="G136" s="2"/>
      <c r="H136" s="2"/>
      <c r="I136" s="3"/>
      <c r="J136" s="4" t="str">
        <f t="shared" si="4"/>
        <v/>
      </c>
      <c r="K136" s="5"/>
      <c r="L136" s="5"/>
      <c r="M136" s="2"/>
      <c r="N136" s="2"/>
      <c r="O136" s="6" t="b">
        <f>TRUE()</f>
        <v>1</v>
      </c>
      <c r="P136" s="2"/>
    </row>
    <row r="137" spans="1:16" x14ac:dyDescent="0.2">
      <c r="A137" s="2"/>
      <c r="B137" s="2"/>
      <c r="C137" s="2"/>
      <c r="D137" s="2"/>
      <c r="E137" s="2"/>
      <c r="F137" s="2"/>
      <c r="G137" s="2"/>
      <c r="H137" s="2"/>
      <c r="I137" s="3"/>
      <c r="J137" s="4" t="str">
        <f t="shared" si="4"/>
        <v/>
      </c>
      <c r="K137" s="5"/>
      <c r="L137" s="5"/>
      <c r="M137" s="2"/>
      <c r="N137" s="2"/>
      <c r="O137" s="6" t="b">
        <f>TRUE()</f>
        <v>1</v>
      </c>
      <c r="P137" s="2"/>
    </row>
    <row r="138" spans="1:16" x14ac:dyDescent="0.2">
      <c r="A138" s="2"/>
      <c r="B138" s="2"/>
      <c r="C138" s="2"/>
      <c r="D138" s="2"/>
      <c r="E138" s="2"/>
      <c r="F138" s="2"/>
      <c r="G138" s="2"/>
      <c r="H138" s="2"/>
      <c r="I138" s="3"/>
      <c r="J138" s="4" t="str">
        <f t="shared" si="4"/>
        <v/>
      </c>
      <c r="K138" s="5"/>
      <c r="L138" s="5"/>
      <c r="M138" s="2"/>
      <c r="N138" s="2"/>
      <c r="O138" s="6" t="b">
        <f>TRUE()</f>
        <v>1</v>
      </c>
      <c r="P138" s="2"/>
    </row>
  </sheetData>
  <dataValidations count="3">
    <dataValidation type="list" allowBlank="1" sqref="C2:C138" xr:uid="{00000000-0002-0000-0000-000000000000}">
      <formula1>"Spirits,Liqueur,Beer,Wine,NA,Mixer"</formula1>
      <formula2>0</formula2>
    </dataValidation>
    <dataValidation type="list" allowBlank="1" sqref="E2:E138" xr:uid="{00000000-0002-0000-0000-000001000000}">
      <formula1>"bottle,can,keg"</formula1>
      <formula2>0</formula2>
    </dataValidation>
    <dataValidation type="list" allowBlank="1" sqref="O2:O138" xr:uid="{00000000-0002-0000-0000-000004000000}">
      <formula1>"TRUE,FALSE"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000-000002000000}">
          <x14:formula1>
            <xm:f>Vendors!$A$2:$A$40</xm:f>
          </x14:formula1>
          <x14:formula2>
            <xm:f>0</xm:f>
          </x14:formula2>
          <xm:sqref>H2:H81 H84:H138</xm:sqref>
        </x14:dataValidation>
        <x14:dataValidation type="list" allowBlank="1" xr:uid="{00000000-0002-0000-0000-000003000000}">
          <x14:formula1>
            <xm:f>Locations!$A$2:$A$30</xm:f>
          </x14:formula1>
          <x14:formula2>
            <xm:f>0</xm:f>
          </x14:formula2>
          <xm:sqref>M2:M81 M84:M138</xm:sqref>
        </x14:dataValidation>
        <x14:dataValidation type="list" allowBlank="1" xr:uid="{E1878B9B-C409-334C-9217-400902CD0BDC}">
          <x14:formula1>
            <xm:f>'[handlebar-catalog_old.xlsx]Locations'!#REF!</xm:f>
          </x14:formula1>
          <x14:formula2>
            <xm:f>0</xm:f>
          </x14:formula2>
          <xm:sqref>M82:M83</xm:sqref>
        </x14:dataValidation>
        <x14:dataValidation type="list" allowBlank="1" xr:uid="{8FC53C38-33A7-1244-B899-DCC72B51ABF9}">
          <x14:formula1>
            <xm:f>'[handlebar-catalog_old.xlsx]Vendors'!#REF!</xm:f>
          </x14:formula1>
          <x14:formula2>
            <xm:f>0</xm:f>
          </x14:formula2>
          <xm:sqref>H82:H83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26" customWidth="1"/>
    <col min="2" max="2" width="24" customWidth="1"/>
    <col min="3" max="3" width="20" customWidth="1"/>
    <col min="4" max="4" width="14" customWidth="1"/>
    <col min="5" max="5" width="30" customWidth="1"/>
  </cols>
  <sheetData>
    <row r="1" spans="1:5" x14ac:dyDescent="0.2">
      <c r="A1" s="7" t="s">
        <v>133</v>
      </c>
      <c r="B1" s="7" t="s">
        <v>134</v>
      </c>
      <c r="C1" s="7" t="s">
        <v>135</v>
      </c>
      <c r="D1" s="7" t="s">
        <v>136</v>
      </c>
      <c r="E1" s="7" t="s">
        <v>15</v>
      </c>
    </row>
    <row r="2" spans="1:5" x14ac:dyDescent="0.2">
      <c r="A2" s="8" t="s">
        <v>137</v>
      </c>
      <c r="B2" s="9"/>
      <c r="C2" s="9"/>
      <c r="D2" s="9"/>
      <c r="E2" s="9"/>
    </row>
    <row r="3" spans="1:5" x14ac:dyDescent="0.2">
      <c r="A3" s="9"/>
      <c r="B3" s="9"/>
      <c r="C3" s="9"/>
      <c r="D3" s="9"/>
      <c r="E3" s="9"/>
    </row>
    <row r="4" spans="1:5" x14ac:dyDescent="0.2">
      <c r="A4" s="9"/>
      <c r="B4" s="9"/>
      <c r="C4" s="9"/>
      <c r="D4" s="9"/>
      <c r="E4" s="9"/>
    </row>
    <row r="5" spans="1:5" x14ac:dyDescent="0.2">
      <c r="A5" s="9"/>
      <c r="B5" s="9"/>
      <c r="C5" s="9"/>
      <c r="D5" s="9"/>
      <c r="E5" s="9"/>
    </row>
    <row r="6" spans="1:5" x14ac:dyDescent="0.2">
      <c r="A6" s="9"/>
      <c r="B6" s="9"/>
      <c r="C6" s="9"/>
      <c r="D6" s="9"/>
      <c r="E6" s="9"/>
    </row>
    <row r="7" spans="1:5" x14ac:dyDescent="0.2">
      <c r="A7" s="9"/>
      <c r="B7" s="9"/>
      <c r="C7" s="9"/>
      <c r="D7" s="9"/>
      <c r="E7" s="9"/>
    </row>
    <row r="8" spans="1:5" x14ac:dyDescent="0.2">
      <c r="A8" s="9"/>
      <c r="B8" s="9"/>
      <c r="C8" s="9"/>
      <c r="D8" s="9"/>
      <c r="E8" s="9"/>
    </row>
    <row r="9" spans="1:5" x14ac:dyDescent="0.2">
      <c r="A9" s="9"/>
      <c r="B9" s="9"/>
      <c r="C9" s="9"/>
      <c r="D9" s="9"/>
      <c r="E9" s="9"/>
    </row>
    <row r="10" spans="1:5" x14ac:dyDescent="0.2">
      <c r="A10" s="9"/>
      <c r="B10" s="9"/>
      <c r="C10" s="9"/>
      <c r="D10" s="9"/>
      <c r="E10" s="9"/>
    </row>
    <row r="11" spans="1:5" x14ac:dyDescent="0.2">
      <c r="A11" s="9"/>
      <c r="B11" s="9"/>
      <c r="C11" s="9"/>
      <c r="D11" s="9"/>
      <c r="E11" s="9"/>
    </row>
    <row r="12" spans="1:5" x14ac:dyDescent="0.2">
      <c r="A12" s="9"/>
      <c r="B12" s="9"/>
      <c r="C12" s="9"/>
      <c r="D12" s="9"/>
      <c r="E12" s="9"/>
    </row>
    <row r="13" spans="1:5" x14ac:dyDescent="0.2">
      <c r="A13" s="9"/>
      <c r="B13" s="9"/>
      <c r="C13" s="9"/>
      <c r="D13" s="9"/>
      <c r="E13" s="9"/>
    </row>
    <row r="14" spans="1:5" x14ac:dyDescent="0.2">
      <c r="A14" s="9"/>
      <c r="B14" s="9"/>
      <c r="C14" s="9"/>
      <c r="D14" s="9"/>
      <c r="E14" s="9"/>
    </row>
    <row r="15" spans="1:5" x14ac:dyDescent="0.2">
      <c r="A15" s="9"/>
      <c r="B15" s="9"/>
      <c r="C15" s="9"/>
      <c r="D15" s="9"/>
      <c r="E15" s="9"/>
    </row>
    <row r="16" spans="1:5" x14ac:dyDescent="0.2">
      <c r="A16" s="9"/>
      <c r="B16" s="9"/>
      <c r="C16" s="9"/>
      <c r="D16" s="9"/>
      <c r="E16" s="9"/>
    </row>
    <row r="17" spans="1:5" x14ac:dyDescent="0.2">
      <c r="A17" s="9"/>
      <c r="B17" s="9"/>
      <c r="C17" s="9"/>
      <c r="D17" s="9"/>
      <c r="E17" s="9"/>
    </row>
    <row r="18" spans="1:5" x14ac:dyDescent="0.2">
      <c r="A18" s="9"/>
      <c r="B18" s="9"/>
      <c r="C18" s="9"/>
      <c r="D18" s="9"/>
      <c r="E18" s="9"/>
    </row>
    <row r="19" spans="1:5" x14ac:dyDescent="0.2">
      <c r="A19" s="9"/>
      <c r="B19" s="9"/>
      <c r="C19" s="9"/>
      <c r="D19" s="9"/>
      <c r="E19" s="9"/>
    </row>
    <row r="20" spans="1:5" x14ac:dyDescent="0.2">
      <c r="A20" s="9"/>
      <c r="B20" s="9"/>
      <c r="C20" s="9"/>
      <c r="D20" s="9"/>
      <c r="E20" s="9"/>
    </row>
    <row r="21" spans="1:5" x14ac:dyDescent="0.2">
      <c r="A21" s="9"/>
      <c r="B21" s="9"/>
      <c r="C21" s="9"/>
      <c r="D21" s="9"/>
      <c r="E21" s="9"/>
    </row>
    <row r="22" spans="1:5" x14ac:dyDescent="0.2">
      <c r="A22" s="9"/>
      <c r="B22" s="9"/>
      <c r="C22" s="9"/>
      <c r="D22" s="9"/>
      <c r="E22" s="9"/>
    </row>
    <row r="23" spans="1:5" x14ac:dyDescent="0.2">
      <c r="A23" s="9"/>
      <c r="B23" s="9"/>
      <c r="C23" s="9"/>
      <c r="D23" s="9"/>
      <c r="E23" s="9"/>
    </row>
    <row r="24" spans="1:5" x14ac:dyDescent="0.2">
      <c r="A24" s="9"/>
      <c r="B24" s="9"/>
      <c r="C24" s="9"/>
      <c r="D24" s="9"/>
      <c r="E24" s="9"/>
    </row>
    <row r="25" spans="1:5" x14ac:dyDescent="0.2">
      <c r="A25" s="9"/>
      <c r="B25" s="9"/>
      <c r="C25" s="9"/>
      <c r="D25" s="9"/>
      <c r="E25" s="9"/>
    </row>
    <row r="26" spans="1:5" x14ac:dyDescent="0.2">
      <c r="A26" s="9"/>
      <c r="B26" s="9"/>
      <c r="C26" s="9"/>
      <c r="D26" s="9"/>
      <c r="E26" s="9"/>
    </row>
    <row r="27" spans="1:5" x14ac:dyDescent="0.2">
      <c r="A27" s="9"/>
      <c r="B27" s="9"/>
      <c r="C27" s="9"/>
      <c r="D27" s="9"/>
      <c r="E27" s="9"/>
    </row>
    <row r="28" spans="1:5" x14ac:dyDescent="0.2">
      <c r="A28" s="9"/>
      <c r="B28" s="9"/>
      <c r="C28" s="9"/>
      <c r="D28" s="9"/>
      <c r="E28" s="9"/>
    </row>
    <row r="29" spans="1:5" x14ac:dyDescent="0.2">
      <c r="A29" s="9"/>
      <c r="B29" s="9"/>
      <c r="C29" s="9"/>
      <c r="D29" s="9"/>
      <c r="E29" s="9"/>
    </row>
    <row r="30" spans="1:5" x14ac:dyDescent="0.2">
      <c r="A30" s="9"/>
      <c r="B30" s="9"/>
      <c r="C30" s="9"/>
      <c r="D30" s="9"/>
      <c r="E30" s="9"/>
    </row>
    <row r="31" spans="1:5" x14ac:dyDescent="0.2">
      <c r="A31" s="9"/>
      <c r="B31" s="9"/>
      <c r="C31" s="9"/>
      <c r="D31" s="9"/>
      <c r="E31" s="9"/>
    </row>
    <row r="32" spans="1:5" x14ac:dyDescent="0.2">
      <c r="A32" s="9"/>
      <c r="B32" s="9"/>
      <c r="C32" s="9"/>
      <c r="D32" s="9"/>
      <c r="E32" s="9"/>
    </row>
    <row r="33" spans="1:5" x14ac:dyDescent="0.2">
      <c r="A33" s="9"/>
      <c r="B33" s="9"/>
      <c r="C33" s="9"/>
      <c r="D33" s="9"/>
      <c r="E33" s="9"/>
    </row>
    <row r="34" spans="1:5" x14ac:dyDescent="0.2">
      <c r="A34" s="9"/>
      <c r="B34" s="9"/>
      <c r="C34" s="9"/>
      <c r="D34" s="9"/>
      <c r="E34" s="9"/>
    </row>
    <row r="35" spans="1:5" x14ac:dyDescent="0.2">
      <c r="A35" s="9"/>
      <c r="B35" s="9"/>
      <c r="C35" s="9"/>
      <c r="D35" s="9"/>
      <c r="E35" s="9"/>
    </row>
    <row r="36" spans="1:5" x14ac:dyDescent="0.2">
      <c r="A36" s="9"/>
      <c r="B36" s="9"/>
      <c r="C36" s="9"/>
      <c r="D36" s="9"/>
      <c r="E36" s="9"/>
    </row>
    <row r="37" spans="1:5" x14ac:dyDescent="0.2">
      <c r="A37" s="9"/>
      <c r="B37" s="9"/>
      <c r="C37" s="9"/>
      <c r="D37" s="9"/>
      <c r="E37" s="9"/>
    </row>
    <row r="38" spans="1:5" x14ac:dyDescent="0.2">
      <c r="A38" s="9"/>
      <c r="B38" s="9"/>
      <c r="C38" s="9"/>
      <c r="D38" s="9"/>
      <c r="E38" s="9"/>
    </row>
    <row r="39" spans="1:5" x14ac:dyDescent="0.2">
      <c r="A39" s="9"/>
      <c r="B39" s="9"/>
      <c r="C39" s="9"/>
      <c r="D39" s="9"/>
      <c r="E39" s="9"/>
    </row>
    <row r="40" spans="1:5" x14ac:dyDescent="0.2">
      <c r="A40" s="9"/>
      <c r="B40" s="9"/>
      <c r="C40" s="9"/>
      <c r="D40" s="9"/>
      <c r="E40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24" customWidth="1"/>
    <col min="2" max="2" width="11" customWidth="1"/>
    <col min="3" max="3" width="46" customWidth="1"/>
  </cols>
  <sheetData>
    <row r="1" spans="1:3" x14ac:dyDescent="0.2">
      <c r="A1" s="7" t="s">
        <v>138</v>
      </c>
      <c r="B1" s="7" t="s">
        <v>139</v>
      </c>
      <c r="C1" s="7" t="s">
        <v>15</v>
      </c>
    </row>
    <row r="2" spans="1:3" x14ac:dyDescent="0.2">
      <c r="A2" s="2" t="s">
        <v>140</v>
      </c>
      <c r="B2" s="2">
        <v>1</v>
      </c>
      <c r="C2" s="2" t="s">
        <v>141</v>
      </c>
    </row>
    <row r="3" spans="1:3" x14ac:dyDescent="0.2">
      <c r="A3" s="2" t="s">
        <v>142</v>
      </c>
      <c r="B3" s="2">
        <v>2</v>
      </c>
      <c r="C3" s="2" t="s">
        <v>143</v>
      </c>
    </row>
    <row r="4" spans="1:3" x14ac:dyDescent="0.2">
      <c r="A4" s="2" t="s">
        <v>144</v>
      </c>
      <c r="B4" s="2">
        <v>3</v>
      </c>
      <c r="C4" s="2"/>
    </row>
    <row r="5" spans="1:3" x14ac:dyDescent="0.2">
      <c r="A5" s="2" t="s">
        <v>145</v>
      </c>
      <c r="B5" s="2">
        <v>4</v>
      </c>
      <c r="C5" s="2" t="s">
        <v>146</v>
      </c>
    </row>
    <row r="6" spans="1:3" x14ac:dyDescent="0.2">
      <c r="A6" s="2" t="s">
        <v>147</v>
      </c>
      <c r="B6" s="2">
        <v>5</v>
      </c>
      <c r="C6" s="2" t="s">
        <v>148</v>
      </c>
    </row>
    <row r="7" spans="1:3" x14ac:dyDescent="0.2">
      <c r="A7" s="9"/>
      <c r="B7" s="9"/>
      <c r="C7" s="9"/>
    </row>
    <row r="8" spans="1:3" x14ac:dyDescent="0.2">
      <c r="A8" s="9"/>
      <c r="B8" s="9"/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9"/>
      <c r="B12" s="9"/>
      <c r="C12" s="9"/>
    </row>
    <row r="13" spans="1:3" x14ac:dyDescent="0.2">
      <c r="A13" s="9"/>
      <c r="B13" s="9"/>
      <c r="C13" s="9"/>
    </row>
    <row r="14" spans="1:3" x14ac:dyDescent="0.2">
      <c r="A14" s="9"/>
      <c r="B14" s="9"/>
      <c r="C14" s="9"/>
    </row>
    <row r="15" spans="1:3" x14ac:dyDescent="0.2">
      <c r="A15" s="9"/>
      <c r="B15" s="9"/>
      <c r="C15" s="9"/>
    </row>
    <row r="16" spans="1:3" x14ac:dyDescent="0.2">
      <c r="A16" s="9"/>
      <c r="B16" s="9"/>
      <c r="C16" s="9"/>
    </row>
    <row r="17" spans="1:3" x14ac:dyDescent="0.2">
      <c r="A17" s="9"/>
      <c r="B17" s="9"/>
      <c r="C17" s="9"/>
    </row>
    <row r="18" spans="1:3" x14ac:dyDescent="0.2">
      <c r="A18" s="9"/>
      <c r="B18" s="9"/>
      <c r="C18" s="9"/>
    </row>
    <row r="19" spans="1:3" x14ac:dyDescent="0.2">
      <c r="A19" s="9"/>
      <c r="B19" s="9"/>
      <c r="C19" s="9"/>
    </row>
    <row r="20" spans="1:3" x14ac:dyDescent="0.2">
      <c r="A20" s="9"/>
      <c r="B20" s="9"/>
      <c r="C20" s="9"/>
    </row>
    <row r="21" spans="1:3" x14ac:dyDescent="0.2">
      <c r="A21" s="9"/>
      <c r="B21" s="9"/>
      <c r="C21" s="9"/>
    </row>
    <row r="22" spans="1:3" x14ac:dyDescent="0.2">
      <c r="A22" s="9"/>
      <c r="B22" s="9"/>
      <c r="C22" s="9"/>
    </row>
    <row r="23" spans="1:3" x14ac:dyDescent="0.2">
      <c r="A23" s="9"/>
      <c r="B23" s="9"/>
      <c r="C23" s="9"/>
    </row>
    <row r="24" spans="1:3" x14ac:dyDescent="0.2">
      <c r="A24" s="9"/>
      <c r="B24" s="9"/>
      <c r="C24" s="9"/>
    </row>
    <row r="25" spans="1:3" x14ac:dyDescent="0.2">
      <c r="A25" s="9"/>
      <c r="B25" s="9"/>
      <c r="C25" s="9"/>
    </row>
    <row r="26" spans="1:3" x14ac:dyDescent="0.2">
      <c r="A26" s="9"/>
      <c r="B26" s="9"/>
      <c r="C26" s="9"/>
    </row>
    <row r="27" spans="1:3" x14ac:dyDescent="0.2">
      <c r="A27" s="9"/>
      <c r="B27" s="9"/>
      <c r="C27" s="9"/>
    </row>
    <row r="28" spans="1:3" x14ac:dyDescent="0.2">
      <c r="A28" s="9"/>
      <c r="B28" s="9"/>
      <c r="C28" s="9"/>
    </row>
    <row r="29" spans="1:3" x14ac:dyDescent="0.2">
      <c r="A29" s="9"/>
      <c r="B29" s="9"/>
      <c r="C29" s="9"/>
    </row>
    <row r="30" spans="1:3" x14ac:dyDescent="0.2">
      <c r="A30" s="9"/>
      <c r="B30" s="9"/>
      <c r="C30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20" customWidth="1"/>
    <col min="2" max="2" width="13" customWidth="1"/>
    <col min="3" max="3" width="10" customWidth="1"/>
    <col min="4" max="4" width="13" customWidth="1"/>
    <col min="5" max="5" width="9" customWidth="1"/>
    <col min="6" max="6" width="11" customWidth="1"/>
    <col min="7" max="8" width="10" customWidth="1"/>
    <col min="9" max="14" width="11" customWidth="1"/>
    <col min="15" max="18" width="10" customWidth="1"/>
    <col min="19" max="19" width="12" customWidth="1"/>
    <col min="20" max="20" width="11" customWidth="1"/>
    <col min="21" max="21" width="12" customWidth="1"/>
    <col min="22" max="22" width="13" customWidth="1"/>
    <col min="23" max="23" width="11" customWidth="1"/>
  </cols>
  <sheetData>
    <row r="1" spans="1:23" ht="30" customHeight="1" x14ac:dyDescent="0.2">
      <c r="A1" s="1" t="s">
        <v>90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</row>
    <row r="2" spans="1:23" x14ac:dyDescent="0.2">
      <c r="A2" s="2" t="s">
        <v>96</v>
      </c>
      <c r="B2" s="2" t="s">
        <v>171</v>
      </c>
      <c r="C2" s="10">
        <v>1984</v>
      </c>
      <c r="D2" s="11">
        <v>144</v>
      </c>
      <c r="E2" s="12">
        <v>0.1</v>
      </c>
      <c r="F2" s="13">
        <f t="shared" ref="F2:F10" si="0">C2*(1-E2)</f>
        <v>1785.6000000000001</v>
      </c>
      <c r="G2" s="4">
        <f t="shared" ref="G2:G10" si="1">IFERROR(D2/(F2/16),"")</f>
        <v>1.2903225806451613</v>
      </c>
      <c r="H2" s="4">
        <f t="shared" ref="H2:H10" si="2">IFERROR(D2/(F2/22),"")</f>
        <v>1.7741935483870965</v>
      </c>
      <c r="I2" s="11">
        <v>3.5</v>
      </c>
      <c r="J2" s="11">
        <v>5.5</v>
      </c>
      <c r="K2" s="4">
        <f t="shared" ref="K2:K10" si="3">I2-G2</f>
        <v>2.209677419354839</v>
      </c>
      <c r="L2" s="14">
        <f t="shared" ref="L2:L10" si="4">IFERROR(K2/I2,"")</f>
        <v>0.63133640552995396</v>
      </c>
      <c r="M2" s="4">
        <f t="shared" ref="M2:M10" si="5">J2-H2</f>
        <v>3.7258064516129035</v>
      </c>
      <c r="N2" s="14">
        <f t="shared" ref="N2:N10" si="6">IFERROR(M2/J2,"")</f>
        <v>0.67741935483870974</v>
      </c>
      <c r="O2" s="5">
        <v>4</v>
      </c>
      <c r="P2" s="5">
        <v>64</v>
      </c>
      <c r="Q2" s="13">
        <f t="shared" ref="Q2:Q10" si="7">O2*16+P2*22</f>
        <v>1472</v>
      </c>
      <c r="R2" s="13">
        <f t="shared" ref="R2:R10" si="8">IFERROR(Q2/(1-E2),"")</f>
        <v>1635.5555555555554</v>
      </c>
      <c r="S2" s="13">
        <f t="shared" ref="S2:S10" si="9">C2-R2</f>
        <v>348.44444444444457</v>
      </c>
      <c r="T2" s="14">
        <f t="shared" ref="T2:T10" si="10">IFERROR(S2/C2,"")</f>
        <v>0.17562724014336925</v>
      </c>
      <c r="U2" s="15">
        <f t="shared" ref="U2:U10" si="11">IFERROR(ROUND(T2*10,0)/10,"")</f>
        <v>0.2</v>
      </c>
      <c r="V2" s="4">
        <f t="shared" ref="V2:V10" si="12">O2*K2+P2*M2</f>
        <v>247.29032258064518</v>
      </c>
      <c r="W2" s="2" t="s">
        <v>172</v>
      </c>
    </row>
    <row r="3" spans="1:23" x14ac:dyDescent="0.2">
      <c r="A3" s="2" t="s">
        <v>103</v>
      </c>
      <c r="B3" s="2" t="s">
        <v>173</v>
      </c>
      <c r="C3" s="10">
        <v>992</v>
      </c>
      <c r="D3" s="11">
        <v>97</v>
      </c>
      <c r="E3" s="12">
        <v>0.1</v>
      </c>
      <c r="F3" s="13">
        <f t="shared" si="0"/>
        <v>892.80000000000007</v>
      </c>
      <c r="G3" s="4">
        <f t="shared" si="1"/>
        <v>1.7383512544802866</v>
      </c>
      <c r="H3" s="4">
        <f t="shared" si="2"/>
        <v>2.3902329749103939</v>
      </c>
      <c r="I3" s="11">
        <v>4.5</v>
      </c>
      <c r="J3" s="11">
        <v>6.5</v>
      </c>
      <c r="K3" s="4">
        <f t="shared" si="3"/>
        <v>2.7616487455197136</v>
      </c>
      <c r="L3" s="14">
        <f t="shared" si="4"/>
        <v>0.61369972122660299</v>
      </c>
      <c r="M3" s="4">
        <f t="shared" si="5"/>
        <v>4.1097670250896066</v>
      </c>
      <c r="N3" s="14">
        <f t="shared" si="6"/>
        <v>0.63227185001378561</v>
      </c>
      <c r="O3" s="5">
        <v>0</v>
      </c>
      <c r="P3" s="5">
        <v>0</v>
      </c>
      <c r="Q3" s="13">
        <f t="shared" si="7"/>
        <v>0</v>
      </c>
      <c r="R3" s="13">
        <f t="shared" si="8"/>
        <v>0</v>
      </c>
      <c r="S3" s="13">
        <f t="shared" si="9"/>
        <v>992</v>
      </c>
      <c r="T3" s="14">
        <f t="shared" si="10"/>
        <v>1</v>
      </c>
      <c r="U3" s="15">
        <f t="shared" si="11"/>
        <v>1</v>
      </c>
      <c r="V3" s="4">
        <f t="shared" si="12"/>
        <v>0</v>
      </c>
      <c r="W3" s="2" t="s">
        <v>172</v>
      </c>
    </row>
    <row r="4" spans="1:23" x14ac:dyDescent="0.2">
      <c r="A4" s="2" t="s">
        <v>174</v>
      </c>
      <c r="B4" s="2" t="s">
        <v>175</v>
      </c>
      <c r="C4" s="10">
        <v>660.5</v>
      </c>
      <c r="D4" s="11">
        <v>82</v>
      </c>
      <c r="E4" s="12">
        <v>0.1</v>
      </c>
      <c r="F4" s="13">
        <f t="shared" si="0"/>
        <v>594.45000000000005</v>
      </c>
      <c r="G4" s="4">
        <f t="shared" si="1"/>
        <v>2.2070821768020856</v>
      </c>
      <c r="H4" s="4">
        <f t="shared" si="2"/>
        <v>3.0347379931028677</v>
      </c>
      <c r="I4" s="11">
        <v>6</v>
      </c>
      <c r="J4" s="11">
        <v>8</v>
      </c>
      <c r="K4" s="4">
        <f t="shared" si="3"/>
        <v>3.7929178231979144</v>
      </c>
      <c r="L4" s="14">
        <f t="shared" si="4"/>
        <v>0.63215297053298569</v>
      </c>
      <c r="M4" s="4">
        <f t="shared" si="5"/>
        <v>4.9652620068971327</v>
      </c>
      <c r="N4" s="14">
        <f t="shared" si="6"/>
        <v>0.62065775086214159</v>
      </c>
      <c r="O4" s="5">
        <v>0</v>
      </c>
      <c r="P4" s="5">
        <v>0</v>
      </c>
      <c r="Q4" s="13">
        <f t="shared" si="7"/>
        <v>0</v>
      </c>
      <c r="R4" s="13">
        <f t="shared" si="8"/>
        <v>0</v>
      </c>
      <c r="S4" s="13">
        <f t="shared" si="9"/>
        <v>660.5</v>
      </c>
      <c r="T4" s="14">
        <f t="shared" si="10"/>
        <v>1</v>
      </c>
      <c r="U4" s="15">
        <f t="shared" si="11"/>
        <v>1</v>
      </c>
      <c r="V4" s="4">
        <f t="shared" si="12"/>
        <v>0</v>
      </c>
      <c r="W4" s="2" t="s">
        <v>172</v>
      </c>
    </row>
    <row r="5" spans="1:23" x14ac:dyDescent="0.2">
      <c r="A5" s="2" t="s">
        <v>176</v>
      </c>
      <c r="B5" s="2" t="s">
        <v>175</v>
      </c>
      <c r="C5" s="10">
        <v>660.5</v>
      </c>
      <c r="D5" s="11">
        <v>92</v>
      </c>
      <c r="E5" s="12">
        <v>0.1</v>
      </c>
      <c r="F5" s="13">
        <f t="shared" si="0"/>
        <v>594.45000000000005</v>
      </c>
      <c r="G5" s="4">
        <f t="shared" si="1"/>
        <v>2.4762385398267304</v>
      </c>
      <c r="H5" s="4">
        <f t="shared" si="2"/>
        <v>3.4048279922617541</v>
      </c>
      <c r="I5" s="11">
        <v>6</v>
      </c>
      <c r="J5" s="11">
        <v>8</v>
      </c>
      <c r="K5" s="4">
        <f t="shared" si="3"/>
        <v>3.5237614601732696</v>
      </c>
      <c r="L5" s="14">
        <f t="shared" si="4"/>
        <v>0.58729357669554494</v>
      </c>
      <c r="M5" s="4">
        <f t="shared" si="5"/>
        <v>4.5951720077382454</v>
      </c>
      <c r="N5" s="14">
        <f t="shared" si="6"/>
        <v>0.57439650096728068</v>
      </c>
      <c r="O5" s="5">
        <v>0</v>
      </c>
      <c r="P5" s="5">
        <v>0</v>
      </c>
      <c r="Q5" s="13">
        <f t="shared" si="7"/>
        <v>0</v>
      </c>
      <c r="R5" s="13">
        <f t="shared" si="8"/>
        <v>0</v>
      </c>
      <c r="S5" s="13">
        <f t="shared" si="9"/>
        <v>660.5</v>
      </c>
      <c r="T5" s="14">
        <f t="shared" si="10"/>
        <v>1</v>
      </c>
      <c r="U5" s="15">
        <f t="shared" si="11"/>
        <v>1</v>
      </c>
      <c r="V5" s="4">
        <f t="shared" si="12"/>
        <v>0</v>
      </c>
      <c r="W5" s="2" t="s">
        <v>172</v>
      </c>
    </row>
    <row r="6" spans="1:23" x14ac:dyDescent="0.2">
      <c r="A6" s="2" t="s">
        <v>177</v>
      </c>
      <c r="B6" s="2" t="s">
        <v>175</v>
      </c>
      <c r="C6" s="10">
        <v>660.5</v>
      </c>
      <c r="D6" s="11">
        <v>90</v>
      </c>
      <c r="E6" s="12">
        <v>0.1</v>
      </c>
      <c r="F6" s="13">
        <f t="shared" si="0"/>
        <v>594.45000000000005</v>
      </c>
      <c r="G6" s="4">
        <f t="shared" si="1"/>
        <v>2.4224072672218013</v>
      </c>
      <c r="H6" s="4">
        <f t="shared" si="2"/>
        <v>3.3308099924299768</v>
      </c>
      <c r="I6" s="11">
        <v>6</v>
      </c>
      <c r="J6" s="11">
        <v>8</v>
      </c>
      <c r="K6" s="4">
        <f t="shared" si="3"/>
        <v>3.5775927327781987</v>
      </c>
      <c r="L6" s="14">
        <f t="shared" si="4"/>
        <v>0.59626545546303311</v>
      </c>
      <c r="M6" s="4">
        <f t="shared" si="5"/>
        <v>4.6691900075700232</v>
      </c>
      <c r="N6" s="14">
        <f t="shared" si="6"/>
        <v>0.5836487509462529</v>
      </c>
      <c r="O6" s="5">
        <v>0</v>
      </c>
      <c r="P6" s="5">
        <v>0</v>
      </c>
      <c r="Q6" s="13">
        <f t="shared" si="7"/>
        <v>0</v>
      </c>
      <c r="R6" s="13">
        <f t="shared" si="8"/>
        <v>0</v>
      </c>
      <c r="S6" s="13">
        <f t="shared" si="9"/>
        <v>660.5</v>
      </c>
      <c r="T6" s="14">
        <f t="shared" si="10"/>
        <v>1</v>
      </c>
      <c r="U6" s="15">
        <f t="shared" si="11"/>
        <v>1</v>
      </c>
      <c r="V6" s="4">
        <f t="shared" si="12"/>
        <v>0</v>
      </c>
      <c r="W6" s="2" t="s">
        <v>172</v>
      </c>
    </row>
    <row r="7" spans="1:23" x14ac:dyDescent="0.2">
      <c r="A7" s="2" t="s">
        <v>178</v>
      </c>
      <c r="B7" s="2" t="s">
        <v>175</v>
      </c>
      <c r="C7" s="10">
        <v>660.5</v>
      </c>
      <c r="D7" s="11">
        <v>96</v>
      </c>
      <c r="E7" s="12">
        <v>0.1</v>
      </c>
      <c r="F7" s="13">
        <f t="shared" si="0"/>
        <v>594.45000000000005</v>
      </c>
      <c r="G7" s="4">
        <f t="shared" si="1"/>
        <v>2.5839010850365884</v>
      </c>
      <c r="H7" s="4">
        <f t="shared" si="2"/>
        <v>3.5528639919253089</v>
      </c>
      <c r="I7" s="11">
        <v>6</v>
      </c>
      <c r="J7" s="11">
        <v>8</v>
      </c>
      <c r="K7" s="4">
        <f t="shared" si="3"/>
        <v>3.4160989149634116</v>
      </c>
      <c r="L7" s="14">
        <f t="shared" si="4"/>
        <v>0.56934981916056859</v>
      </c>
      <c r="M7" s="4">
        <f t="shared" si="5"/>
        <v>4.4471360080746916</v>
      </c>
      <c r="N7" s="14">
        <f t="shared" si="6"/>
        <v>0.55589200100933644</v>
      </c>
      <c r="O7" s="5">
        <v>0</v>
      </c>
      <c r="P7" s="5">
        <v>0</v>
      </c>
      <c r="Q7" s="13">
        <f t="shared" si="7"/>
        <v>0</v>
      </c>
      <c r="R7" s="13">
        <f t="shared" si="8"/>
        <v>0</v>
      </c>
      <c r="S7" s="13">
        <f t="shared" si="9"/>
        <v>660.5</v>
      </c>
      <c r="T7" s="14">
        <f t="shared" si="10"/>
        <v>1</v>
      </c>
      <c r="U7" s="15">
        <f t="shared" si="11"/>
        <v>1</v>
      </c>
      <c r="V7" s="4">
        <f t="shared" si="12"/>
        <v>0</v>
      </c>
      <c r="W7" s="2" t="s">
        <v>172</v>
      </c>
    </row>
    <row r="8" spans="1:23" x14ac:dyDescent="0.2">
      <c r="A8" s="2" t="s">
        <v>179</v>
      </c>
      <c r="B8" s="2" t="s">
        <v>175</v>
      </c>
      <c r="C8" s="10">
        <v>660.5</v>
      </c>
      <c r="D8" s="11">
        <v>94</v>
      </c>
      <c r="E8" s="12">
        <v>0.1</v>
      </c>
      <c r="F8" s="13">
        <f t="shared" si="0"/>
        <v>594.45000000000005</v>
      </c>
      <c r="G8" s="4">
        <f t="shared" si="1"/>
        <v>2.5300698124316594</v>
      </c>
      <c r="H8" s="4">
        <f t="shared" si="2"/>
        <v>3.4788459920935315</v>
      </c>
      <c r="I8" s="11">
        <v>5.5</v>
      </c>
      <c r="J8" s="11">
        <v>7.5</v>
      </c>
      <c r="K8" s="4">
        <f t="shared" si="3"/>
        <v>2.9699301875683406</v>
      </c>
      <c r="L8" s="14">
        <f t="shared" si="4"/>
        <v>0.53998730683060736</v>
      </c>
      <c r="M8" s="4">
        <f t="shared" si="5"/>
        <v>4.0211540079064685</v>
      </c>
      <c r="N8" s="14">
        <f t="shared" si="6"/>
        <v>0.53615386772086249</v>
      </c>
      <c r="O8" s="5">
        <v>0</v>
      </c>
      <c r="P8" s="5">
        <v>0</v>
      </c>
      <c r="Q8" s="13">
        <f t="shared" si="7"/>
        <v>0</v>
      </c>
      <c r="R8" s="13">
        <f t="shared" si="8"/>
        <v>0</v>
      </c>
      <c r="S8" s="13">
        <f t="shared" si="9"/>
        <v>660.5</v>
      </c>
      <c r="T8" s="14">
        <f t="shared" si="10"/>
        <v>1</v>
      </c>
      <c r="U8" s="15">
        <f t="shared" si="11"/>
        <v>1</v>
      </c>
      <c r="V8" s="4">
        <f t="shared" si="12"/>
        <v>0</v>
      </c>
      <c r="W8" s="2" t="s">
        <v>172</v>
      </c>
    </row>
    <row r="9" spans="1:23" x14ac:dyDescent="0.2">
      <c r="A9" s="2" t="s">
        <v>180</v>
      </c>
      <c r="B9" s="2" t="s">
        <v>175</v>
      </c>
      <c r="C9" s="10">
        <v>660.5</v>
      </c>
      <c r="D9" s="11">
        <v>72</v>
      </c>
      <c r="E9" s="12">
        <v>0.1</v>
      </c>
      <c r="F9" s="13">
        <f t="shared" si="0"/>
        <v>594.45000000000005</v>
      </c>
      <c r="G9" s="4">
        <f t="shared" si="1"/>
        <v>1.9379258137774411</v>
      </c>
      <c r="H9" s="4">
        <f t="shared" si="2"/>
        <v>2.6646479939439818</v>
      </c>
      <c r="I9" s="11">
        <v>5.25</v>
      </c>
      <c r="J9" s="11">
        <v>7.25</v>
      </c>
      <c r="K9" s="4">
        <f t="shared" si="3"/>
        <v>3.3120741862225591</v>
      </c>
      <c r="L9" s="14">
        <f t="shared" si="4"/>
        <v>0.63087127356620176</v>
      </c>
      <c r="M9" s="4">
        <f t="shared" si="5"/>
        <v>4.5853520060560182</v>
      </c>
      <c r="N9" s="14">
        <f t="shared" si="6"/>
        <v>0.63246234566289905</v>
      </c>
      <c r="O9" s="5">
        <v>0</v>
      </c>
      <c r="P9" s="5">
        <v>0</v>
      </c>
      <c r="Q9" s="13">
        <f t="shared" si="7"/>
        <v>0</v>
      </c>
      <c r="R9" s="13">
        <f t="shared" si="8"/>
        <v>0</v>
      </c>
      <c r="S9" s="13">
        <f t="shared" si="9"/>
        <v>660.5</v>
      </c>
      <c r="T9" s="14">
        <f t="shared" si="10"/>
        <v>1</v>
      </c>
      <c r="U9" s="15">
        <f t="shared" si="11"/>
        <v>1</v>
      </c>
      <c r="V9" s="4">
        <f t="shared" si="12"/>
        <v>0</v>
      </c>
      <c r="W9" s="2" t="s">
        <v>172</v>
      </c>
    </row>
    <row r="10" spans="1:23" x14ac:dyDescent="0.2">
      <c r="A10" s="2" t="s">
        <v>181</v>
      </c>
      <c r="B10" s="2" t="s">
        <v>175</v>
      </c>
      <c r="C10" s="10">
        <v>660.5</v>
      </c>
      <c r="D10" s="11">
        <v>84</v>
      </c>
      <c r="E10" s="12">
        <v>0.1</v>
      </c>
      <c r="F10" s="13">
        <f t="shared" si="0"/>
        <v>594.45000000000005</v>
      </c>
      <c r="G10" s="4">
        <f t="shared" si="1"/>
        <v>2.2609134494070147</v>
      </c>
      <c r="H10" s="4">
        <f t="shared" si="2"/>
        <v>3.1087559929346451</v>
      </c>
      <c r="I10" s="11">
        <v>4.5</v>
      </c>
      <c r="J10" s="11">
        <v>6.5</v>
      </c>
      <c r="K10" s="4">
        <f t="shared" si="3"/>
        <v>2.2390865505929853</v>
      </c>
      <c r="L10" s="14">
        <f t="shared" si="4"/>
        <v>0.49757478902066343</v>
      </c>
      <c r="M10" s="4">
        <f t="shared" si="5"/>
        <v>3.3912440070653549</v>
      </c>
      <c r="N10" s="14">
        <f t="shared" si="6"/>
        <v>0.52172984724082383</v>
      </c>
      <c r="O10" s="5">
        <v>0</v>
      </c>
      <c r="P10" s="5">
        <v>0</v>
      </c>
      <c r="Q10" s="13">
        <f t="shared" si="7"/>
        <v>0</v>
      </c>
      <c r="R10" s="13">
        <f t="shared" si="8"/>
        <v>0</v>
      </c>
      <c r="S10" s="13">
        <f t="shared" si="9"/>
        <v>660.5</v>
      </c>
      <c r="T10" s="14">
        <f t="shared" si="10"/>
        <v>1</v>
      </c>
      <c r="U10" s="15">
        <f t="shared" si="11"/>
        <v>1</v>
      </c>
      <c r="V10" s="4">
        <f t="shared" si="12"/>
        <v>0</v>
      </c>
      <c r="W10" s="2" t="s">
        <v>172</v>
      </c>
    </row>
    <row r="12" spans="1:23" x14ac:dyDescent="0.2">
      <c r="A12" s="16" t="s">
        <v>182</v>
      </c>
    </row>
    <row r="13" spans="1:23" x14ac:dyDescent="0.2">
      <c r="A13" s="16" t="s">
        <v>183</v>
      </c>
    </row>
    <row r="14" spans="1:23" x14ac:dyDescent="0.2">
      <c r="A14" s="16" t="s">
        <v>184</v>
      </c>
    </row>
    <row r="16" spans="1:23" x14ac:dyDescent="0.2">
      <c r="A16" s="17" t="s">
        <v>185</v>
      </c>
    </row>
    <row r="17" spans="1:7" x14ac:dyDescent="0.2">
      <c r="A17" s="18" t="s">
        <v>149</v>
      </c>
      <c r="B17" s="18" t="s">
        <v>186</v>
      </c>
      <c r="C17" s="18" t="s">
        <v>150</v>
      </c>
      <c r="D17" s="18" t="s">
        <v>187</v>
      </c>
      <c r="E17" s="18" t="s">
        <v>188</v>
      </c>
      <c r="F17" s="18" t="s">
        <v>189</v>
      </c>
      <c r="G17" s="18" t="s">
        <v>190</v>
      </c>
    </row>
    <row r="18" spans="1:7" x14ac:dyDescent="0.2">
      <c r="A18" s="19" t="s">
        <v>191</v>
      </c>
      <c r="B18" s="2">
        <v>15.5</v>
      </c>
      <c r="C18" s="13">
        <f>B18*128</f>
        <v>1984</v>
      </c>
      <c r="D18" s="13">
        <f>C18/16</f>
        <v>124</v>
      </c>
      <c r="E18" s="13">
        <f>C18/22</f>
        <v>90.181818181818187</v>
      </c>
      <c r="F18" s="13">
        <f>C18*0.9/16</f>
        <v>111.60000000000001</v>
      </c>
      <c r="G18" s="13">
        <f>C18*0.9/22</f>
        <v>81.163636363636371</v>
      </c>
    </row>
    <row r="19" spans="1:7" x14ac:dyDescent="0.2">
      <c r="A19" s="19" t="s">
        <v>192</v>
      </c>
      <c r="B19" s="2">
        <v>7.75</v>
      </c>
      <c r="C19" s="13">
        <f>B19*128</f>
        <v>992</v>
      </c>
      <c r="D19" s="13">
        <f>C19/16</f>
        <v>62</v>
      </c>
      <c r="E19" s="13">
        <f>C19/22</f>
        <v>45.090909090909093</v>
      </c>
      <c r="F19" s="13">
        <f>C19*0.9/16</f>
        <v>55.800000000000004</v>
      </c>
      <c r="G19" s="13">
        <f>C19*0.9/22</f>
        <v>40.581818181818186</v>
      </c>
    </row>
    <row r="20" spans="1:7" x14ac:dyDescent="0.2">
      <c r="A20" s="19" t="s">
        <v>193</v>
      </c>
      <c r="B20" s="2">
        <v>5.16</v>
      </c>
      <c r="C20" s="13">
        <f>B20*128</f>
        <v>660.48</v>
      </c>
      <c r="D20" s="13">
        <f>C20/16</f>
        <v>41.28</v>
      </c>
      <c r="E20" s="13">
        <f>C20/22</f>
        <v>30.021818181818183</v>
      </c>
      <c r="F20" s="13">
        <f>C20*0.9/16</f>
        <v>37.152000000000001</v>
      </c>
      <c r="G20" s="13">
        <f>C20*0.9/22</f>
        <v>27.019636363636366</v>
      </c>
    </row>
    <row r="21" spans="1:7" x14ac:dyDescent="0.2">
      <c r="A21" s="19" t="s">
        <v>194</v>
      </c>
      <c r="B21" s="2">
        <v>13.2</v>
      </c>
      <c r="C21" s="13">
        <f>B21*128</f>
        <v>1689.6</v>
      </c>
      <c r="D21" s="13">
        <f>C21/16</f>
        <v>105.6</v>
      </c>
      <c r="E21" s="13">
        <f>C21/22</f>
        <v>76.8</v>
      </c>
      <c r="F21" s="13">
        <f>C21*0.9/16</f>
        <v>95.039999999999992</v>
      </c>
      <c r="G21" s="13">
        <f>C21*0.9/22</f>
        <v>69.11999999999999</v>
      </c>
    </row>
    <row r="22" spans="1:7" x14ac:dyDescent="0.2">
      <c r="A22" s="19" t="s">
        <v>195</v>
      </c>
      <c r="B22" s="2">
        <v>7.92</v>
      </c>
      <c r="C22" s="13">
        <f>B22*128</f>
        <v>1013.76</v>
      </c>
      <c r="D22" s="13">
        <f>C22/16</f>
        <v>63.36</v>
      </c>
      <c r="E22" s="13">
        <f>C22/22</f>
        <v>46.08</v>
      </c>
      <c r="F22" s="13">
        <f>C22*0.9/16</f>
        <v>57.024000000000001</v>
      </c>
      <c r="G22" s="13">
        <f>C22*0.9/22</f>
        <v>41.472000000000001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2"/>
  <sheetViews>
    <sheetView zoomScaleNormal="100" workbookViewId="0"/>
  </sheetViews>
  <sheetFormatPr baseColWidth="10" defaultColWidth="8.6640625" defaultRowHeight="15" x14ac:dyDescent="0.2"/>
  <cols>
    <col min="1" max="1" width="36" customWidth="1"/>
    <col min="2" max="2" width="13" customWidth="1"/>
    <col min="3" max="3" width="64" customWidth="1"/>
  </cols>
  <sheetData>
    <row r="1" spans="1:1" ht="17" x14ac:dyDescent="0.2">
      <c r="A1" s="20" t="s">
        <v>196</v>
      </c>
    </row>
    <row r="2" spans="1:1" x14ac:dyDescent="0.2">
      <c r="A2" s="16" t="s">
        <v>197</v>
      </c>
    </row>
    <row r="3" spans="1:1" x14ac:dyDescent="0.2">
      <c r="A3" s="16" t="s">
        <v>198</v>
      </c>
    </row>
    <row r="5" spans="1:1" x14ac:dyDescent="0.2">
      <c r="A5" s="17" t="s">
        <v>199</v>
      </c>
    </row>
    <row r="6" spans="1:1" x14ac:dyDescent="0.2">
      <c r="A6" s="21" t="s">
        <v>200</v>
      </c>
    </row>
    <row r="7" spans="1:1" x14ac:dyDescent="0.2">
      <c r="A7" s="21" t="s">
        <v>201</v>
      </c>
    </row>
    <row r="8" spans="1:1" x14ac:dyDescent="0.2">
      <c r="A8" s="21" t="s">
        <v>202</v>
      </c>
    </row>
    <row r="10" spans="1:1" x14ac:dyDescent="0.2">
      <c r="A10" s="17" t="s">
        <v>203</v>
      </c>
    </row>
    <row r="11" spans="1:1" x14ac:dyDescent="0.2">
      <c r="A11" s="21" t="s">
        <v>204</v>
      </c>
    </row>
    <row r="12" spans="1:1" x14ac:dyDescent="0.2">
      <c r="A12" s="21" t="s">
        <v>205</v>
      </c>
    </row>
    <row r="13" spans="1:1" x14ac:dyDescent="0.2">
      <c r="A13" s="21" t="s">
        <v>206</v>
      </c>
    </row>
    <row r="14" spans="1:1" x14ac:dyDescent="0.2">
      <c r="A14" s="21" t="s">
        <v>207</v>
      </c>
    </row>
    <row r="15" spans="1:1" x14ac:dyDescent="0.2">
      <c r="A15" s="21" t="s">
        <v>208</v>
      </c>
    </row>
    <row r="17" spans="1:3" x14ac:dyDescent="0.2">
      <c r="A17" s="17" t="s">
        <v>209</v>
      </c>
    </row>
    <row r="18" spans="1:3" x14ac:dyDescent="0.2">
      <c r="A18" s="21" t="s">
        <v>210</v>
      </c>
    </row>
    <row r="19" spans="1:3" x14ac:dyDescent="0.2">
      <c r="A19" s="21" t="s">
        <v>211</v>
      </c>
    </row>
    <row r="20" spans="1:3" x14ac:dyDescent="0.2">
      <c r="A20" s="21" t="s">
        <v>212</v>
      </c>
    </row>
    <row r="21" spans="1:3" x14ac:dyDescent="0.2">
      <c r="A21" s="21" t="s">
        <v>213</v>
      </c>
    </row>
    <row r="23" spans="1:3" x14ac:dyDescent="0.2">
      <c r="A23" s="17" t="s">
        <v>214</v>
      </c>
    </row>
    <row r="24" spans="1:3" x14ac:dyDescent="0.2">
      <c r="A24" s="21" t="s">
        <v>215</v>
      </c>
      <c r="B24" s="21">
        <v>375</v>
      </c>
      <c r="C24" s="16"/>
    </row>
    <row r="25" spans="1:3" x14ac:dyDescent="0.2">
      <c r="A25" s="21" t="s">
        <v>216</v>
      </c>
      <c r="B25" s="21">
        <v>750</v>
      </c>
      <c r="C25" s="16" t="s">
        <v>217</v>
      </c>
    </row>
    <row r="26" spans="1:3" x14ac:dyDescent="0.2">
      <c r="A26" s="21" t="s">
        <v>218</v>
      </c>
      <c r="B26" s="21">
        <v>1000</v>
      </c>
      <c r="C26" s="16"/>
    </row>
    <row r="27" spans="1:3" x14ac:dyDescent="0.2">
      <c r="A27" s="21" t="s">
        <v>219</v>
      </c>
      <c r="B27" s="21">
        <v>1750</v>
      </c>
      <c r="C27" s="16" t="s">
        <v>220</v>
      </c>
    </row>
    <row r="28" spans="1:3" x14ac:dyDescent="0.2">
      <c r="A28" s="21" t="s">
        <v>221</v>
      </c>
      <c r="B28" s="21">
        <v>355</v>
      </c>
      <c r="C28" s="16"/>
    </row>
    <row r="29" spans="1:3" x14ac:dyDescent="0.2">
      <c r="A29" s="21" t="s">
        <v>222</v>
      </c>
      <c r="B29" s="21">
        <v>473</v>
      </c>
      <c r="C29" s="16"/>
    </row>
    <row r="30" spans="1:3" x14ac:dyDescent="0.2">
      <c r="A30" s="21" t="s">
        <v>223</v>
      </c>
      <c r="B30" s="21">
        <v>19550</v>
      </c>
      <c r="C30" s="16" t="s">
        <v>224</v>
      </c>
    </row>
    <row r="31" spans="1:3" x14ac:dyDescent="0.2">
      <c r="A31" s="21" t="s">
        <v>225</v>
      </c>
      <c r="B31" s="21">
        <v>58670</v>
      </c>
      <c r="C31" s="16" t="s">
        <v>226</v>
      </c>
    </row>
    <row r="33" spans="1:1" x14ac:dyDescent="0.2">
      <c r="A33" s="17" t="s">
        <v>227</v>
      </c>
    </row>
    <row r="34" spans="1:1" x14ac:dyDescent="0.2">
      <c r="A34" s="21" t="s">
        <v>228</v>
      </c>
    </row>
    <row r="35" spans="1:1" x14ac:dyDescent="0.2">
      <c r="A35" s="21" t="s">
        <v>229</v>
      </c>
    </row>
    <row r="36" spans="1:1" x14ac:dyDescent="0.2">
      <c r="A36" s="21" t="s">
        <v>230</v>
      </c>
    </row>
    <row r="37" spans="1:1" x14ac:dyDescent="0.2">
      <c r="A37" s="21" t="s">
        <v>231</v>
      </c>
    </row>
    <row r="38" spans="1:1" x14ac:dyDescent="0.2">
      <c r="A38" s="21" t="s">
        <v>232</v>
      </c>
    </row>
    <row r="39" spans="1:1" x14ac:dyDescent="0.2">
      <c r="A39" s="21" t="s">
        <v>233</v>
      </c>
    </row>
    <row r="40" spans="1:1" x14ac:dyDescent="0.2">
      <c r="A40" s="21" t="s">
        <v>234</v>
      </c>
    </row>
    <row r="42" spans="1:1" x14ac:dyDescent="0.2">
      <c r="A42" s="22" t="s">
        <v>235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Vendors</vt:lpstr>
      <vt:lpstr>Locations</vt:lpstr>
      <vt:lpstr>Draft Economics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SS</cp:lastModifiedBy>
  <cp:revision>0</cp:revision>
  <dcterms:created xsi:type="dcterms:W3CDTF">2026-07-25T03:11:42Z</dcterms:created>
  <dcterms:modified xsi:type="dcterms:W3CDTF">2026-07-25T03:19:05Z</dcterms:modified>
  <dc:language>en-US</dc:language>
</cp:coreProperties>
</file>